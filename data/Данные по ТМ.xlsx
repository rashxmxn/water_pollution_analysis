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1415-01\Desktop\"/>
    </mc:Choice>
  </mc:AlternateContent>
  <xr:revisionPtr revIDLastSave="0" documentId="13_ncr:1_{AD7C8CF1-FC40-43C0-BE82-EF047C9FE4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" i="1" l="1"/>
  <c r="V1" i="1" s="1"/>
  <c r="N1" i="1"/>
  <c r="X1" i="1" s="1"/>
  <c r="G1" i="1"/>
  <c r="H1" i="1"/>
  <c r="M1" i="1" s="1"/>
  <c r="I1" i="1"/>
  <c r="J1" i="1"/>
  <c r="O1" i="1" s="1"/>
  <c r="A57" i="1"/>
  <c r="A58" i="1"/>
  <c r="A59" i="1"/>
  <c r="A60" i="1"/>
  <c r="A52" i="1"/>
  <c r="A53" i="1"/>
  <c r="A54" i="1"/>
  <c r="A55" i="1"/>
  <c r="A47" i="1"/>
  <c r="A48" i="1"/>
  <c r="A49" i="1"/>
  <c r="A50" i="1"/>
  <c r="A42" i="1"/>
  <c r="A43" i="1"/>
  <c r="A44" i="1"/>
  <c r="A45" i="1"/>
  <c r="A37" i="1"/>
  <c r="A38" i="1"/>
  <c r="A39" i="1"/>
  <c r="A40" i="1"/>
  <c r="A32" i="1"/>
  <c r="A33" i="1"/>
  <c r="A34" i="1"/>
  <c r="A35" i="1"/>
  <c r="A27" i="1"/>
  <c r="A28" i="1"/>
  <c r="A29" i="1"/>
  <c r="A30" i="1"/>
  <c r="A22" i="1"/>
  <c r="A23" i="1"/>
  <c r="A24" i="1"/>
  <c r="A25" i="1"/>
  <c r="A17" i="1"/>
  <c r="A18" i="1"/>
  <c r="A19" i="1"/>
  <c r="A20" i="1"/>
  <c r="A12" i="1"/>
  <c r="A13" i="1"/>
  <c r="A14" i="1"/>
  <c r="A15" i="1"/>
  <c r="A7" i="1"/>
  <c r="A8" i="1"/>
  <c r="A9" i="1"/>
  <c r="A10" i="1"/>
  <c r="Y1" i="1" l="1"/>
  <c r="T1" i="1"/>
  <c r="S1" i="1"/>
  <c r="W1" i="1"/>
  <c r="R1" i="1"/>
  <c r="Q1" i="1"/>
</calcChain>
</file>

<file path=xl/sharedStrings.xml><?xml version="1.0" encoding="utf-8"?>
<sst xmlns="http://schemas.openxmlformats.org/spreadsheetml/2006/main" count="67" uniqueCount="67">
  <si>
    <t>Mn</t>
  </si>
  <si>
    <t>Zn</t>
  </si>
  <si>
    <t>Cu</t>
  </si>
  <si>
    <t>Cd</t>
  </si>
  <si>
    <t>2021-Январь</t>
  </si>
  <si>
    <t>2021-Февраль</t>
  </si>
  <si>
    <t>2021-Март</t>
  </si>
  <si>
    <t>2021-Апрель</t>
  </si>
  <si>
    <t>2021-Май</t>
  </si>
  <si>
    <t>2021-Июнь</t>
  </si>
  <si>
    <t>2021-Июль</t>
  </si>
  <si>
    <t>2021-Август</t>
  </si>
  <si>
    <t>2021-Сентябрь</t>
  </si>
  <si>
    <t>2021-Октябрь</t>
  </si>
  <si>
    <t>2021-Ноябрь</t>
  </si>
  <si>
    <t>2021-Декабрь</t>
  </si>
  <si>
    <t>2022-Январь</t>
  </si>
  <si>
    <t>2022-Февраль</t>
  </si>
  <si>
    <t>2022-Март</t>
  </si>
  <si>
    <t>2022-Апрель</t>
  </si>
  <si>
    <t>2022-Май</t>
  </si>
  <si>
    <t>2022-Июнь</t>
  </si>
  <si>
    <t>2022-Июль</t>
  </si>
  <si>
    <t>2022-Август</t>
  </si>
  <si>
    <t>2022-Сентябрь</t>
  </si>
  <si>
    <t>2022-Октябрь</t>
  </si>
  <si>
    <t>2022-Ноябрь</t>
  </si>
  <si>
    <t>2022-Декабрь</t>
  </si>
  <si>
    <t>2023-Январь</t>
  </si>
  <si>
    <t>2023-Февраль</t>
  </si>
  <si>
    <t>2023-Март</t>
  </si>
  <si>
    <t>2023-Апрель</t>
  </si>
  <si>
    <t>2023-Май</t>
  </si>
  <si>
    <t>2023-Июнь</t>
  </si>
  <si>
    <t>2023-Июль</t>
  </si>
  <si>
    <t>2023-Август</t>
  </si>
  <si>
    <t>2023-Сентябрь</t>
  </si>
  <si>
    <t>2023-Октябрь</t>
  </si>
  <si>
    <t>2023-Ноябрь</t>
  </si>
  <si>
    <t>2023-Декабрь</t>
  </si>
  <si>
    <t>2024-Январь</t>
  </si>
  <si>
    <t>2024-Февраль</t>
  </si>
  <si>
    <t>2024-Март</t>
  </si>
  <si>
    <t>2024-Апрель</t>
  </si>
  <si>
    <t>2024-Май</t>
  </si>
  <si>
    <t>2024-Июнь</t>
  </si>
  <si>
    <t>2024-Июль</t>
  </si>
  <si>
    <t>2024-Август</t>
  </si>
  <si>
    <t>2024-Сентябрь</t>
  </si>
  <si>
    <t>2024-Октябрь</t>
  </si>
  <si>
    <t>2024-Ноябрь</t>
  </si>
  <si>
    <t>2024-Декабрь</t>
  </si>
  <si>
    <t>2025-Январь</t>
  </si>
  <si>
    <t>2025-Февраль</t>
  </si>
  <si>
    <t>2025-Март</t>
  </si>
  <si>
    <t>2025-Апрель</t>
  </si>
  <si>
    <t>2025-Май</t>
  </si>
  <si>
    <t>2025-Июнь</t>
  </si>
  <si>
    <t>2025-Июль</t>
  </si>
  <si>
    <t>2025-Август</t>
  </si>
  <si>
    <t>2025-Сентябрь</t>
  </si>
  <si>
    <t>2025-Октябрь</t>
  </si>
  <si>
    <t>2025-Ноябрь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</si>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</sst>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"/>
  <sheetViews>
    <sheetView tabSelected="1" zoomScale="85" zoomScaleNormal="85" workbookViewId="0">
      <selection activeCell="J1" sqref="J1"/>
    </sheetView>
  </sheetViews>
  <sheetFormatPr defaultRowHeight="14.5" x14ac:dyDescent="0.35"/>
  <cols>
    <col min="1" max="1" width="14.453125" customWidth="1"/>
    <col min="2" max="2" width="14.26953125" customWidth="1"/>
  </cols>
  <sheetData>
    <row r="1" spans="1:25" x14ac:dyDescent="0.35">
      <c r="A1" t="s">
        <v>4</v>
      </c>
      <c r="B1" t="s">
        <v>63</v>
      </c>
      <c r="C1" t="s">
        <v>64</v>
      </c>
      <c r="D1" t="s">
        <v>65</v>
      </c>
      <c r="E1" t="s">
        <v>66</v>
      </c>
      <c r="F1" t="s">
        <v>16</v>
      </c>
      <c r="G1" t="str">
        <f t="shared" ref="G1:J1" si="0">B1</f>
        <v>T1</v>
      </c>
      <c r="H1" t="str">
        <f t="shared" si="0"/>
        <v>T2</v>
      </c>
      <c r="I1" t="str">
        <f t="shared" si="0"/>
        <v>T3</v>
      </c>
      <c r="J1" t="str">
        <f t="shared" si="0"/>
        <v>T4</v>
      </c>
      <c r="K1" t="s">
        <v>28</v>
      </c>
      <c r="L1" t="str">
        <f t="shared" ref="L1:O1" si="1">G1</f>
        <v>T1</v>
      </c>
      <c r="M1" t="str">
        <f t="shared" si="1"/>
        <v>T2</v>
      </c>
      <c r="N1" t="str">
        <f t="shared" si="1"/>
        <v>T3</v>
      </c>
      <c r="O1" t="str">
        <f t="shared" si="1"/>
        <v>T4</v>
      </c>
      <c r="P1" t="s">
        <v>40</v>
      </c>
      <c r="Q1" t="str">
        <f t="shared" ref="Q1:T1" si="2">L1</f>
        <v>T1</v>
      </c>
      <c r="R1" t="str">
        <f t="shared" si="2"/>
        <v>T2</v>
      </c>
      <c r="S1" t="str">
        <f t="shared" si="2"/>
        <v>T3</v>
      </c>
      <c r="T1" t="str">
        <f t="shared" si="2"/>
        <v>T4</v>
      </c>
      <c r="U1" t="s">
        <v>52</v>
      </c>
      <c r="V1" t="str">
        <f t="shared" ref="V1:Y1" si="3">L1</f>
        <v>T1</v>
      </c>
      <c r="W1" t="str">
        <f t="shared" si="3"/>
        <v>T2</v>
      </c>
      <c r="X1" t="str">
        <f t="shared" si="3"/>
        <v>T3</v>
      </c>
      <c r="Y1" t="str">
        <f t="shared" si="3"/>
        <v>T4</v>
      </c>
    </row>
    <row r="2" spans="1:25" x14ac:dyDescent="0.35">
      <c r="A2" s="1" t="s">
        <v>0</v>
      </c>
      <c r="B2">
        <v>3.5000000000000001E-3</v>
      </c>
      <c r="C2">
        <v>9.1999999999999998E-3</v>
      </c>
      <c r="D2">
        <v>1.0999999999999999E-2</v>
      </c>
      <c r="E2">
        <v>1.2999999999999999E-2</v>
      </c>
      <c r="G2">
        <v>5.0000000000000001E-3</v>
      </c>
      <c r="H2">
        <v>5.3E-3</v>
      </c>
      <c r="I2">
        <v>8.2000000000000007E-3</v>
      </c>
      <c r="J2">
        <v>5.3E-3</v>
      </c>
      <c r="L2">
        <v>4.3E-3</v>
      </c>
      <c r="M2">
        <v>5.0000000000000001E-3</v>
      </c>
      <c r="N2">
        <v>8.8999999999999999E-3</v>
      </c>
      <c r="O2">
        <v>0.02</v>
      </c>
      <c r="Q2">
        <v>3.5000000000000003E-2</v>
      </c>
      <c r="R2">
        <v>1.7999999999999999E-2</v>
      </c>
      <c r="S2">
        <v>3.3000000000000002E-2</v>
      </c>
      <c r="T2">
        <v>2.9000000000000001E-2</v>
      </c>
      <c r="V2">
        <v>6.0000000000000001E-3</v>
      </c>
      <c r="W2">
        <v>6.4999999999999997E-3</v>
      </c>
      <c r="X2">
        <v>0.01</v>
      </c>
      <c r="Y2">
        <v>1.2E-2</v>
      </c>
    </row>
    <row r="3" spans="1:25" x14ac:dyDescent="0.35">
      <c r="A3" s="1" t="s">
        <v>1</v>
      </c>
      <c r="B3">
        <v>5.4999999999999997E-3</v>
      </c>
      <c r="C3">
        <v>5.5999999999999999E-3</v>
      </c>
      <c r="D3">
        <v>4.5999999999999999E-2</v>
      </c>
      <c r="E3">
        <v>1.7999999999999999E-2</v>
      </c>
      <c r="G3">
        <v>0</v>
      </c>
      <c r="H3">
        <v>0</v>
      </c>
      <c r="I3">
        <v>2.4E-2</v>
      </c>
      <c r="J3">
        <v>6.4000000000000003E-3</v>
      </c>
      <c r="L3">
        <v>0</v>
      </c>
      <c r="M3">
        <v>0</v>
      </c>
      <c r="N3">
        <v>0.03</v>
      </c>
      <c r="O3">
        <v>8.0000000000000002E-3</v>
      </c>
      <c r="Q3">
        <v>6.0000000000000001E-3</v>
      </c>
      <c r="R3">
        <v>8.0000000000000002E-3</v>
      </c>
      <c r="S3">
        <v>7.0999999999999994E-2</v>
      </c>
      <c r="T3">
        <v>1.7000000000000001E-2</v>
      </c>
      <c r="V3">
        <v>0</v>
      </c>
      <c r="W3">
        <v>0</v>
      </c>
      <c r="X3">
        <v>2.8000000000000001E-2</v>
      </c>
      <c r="Y3">
        <v>1.4E-2</v>
      </c>
    </row>
    <row r="4" spans="1:25" x14ac:dyDescent="0.35">
      <c r="A4" s="1" t="s">
        <v>2</v>
      </c>
      <c r="B4">
        <v>1.4E-3</v>
      </c>
      <c r="C4">
        <v>2.5999999999999999E-3</v>
      </c>
      <c r="D4">
        <v>1.5E-3</v>
      </c>
      <c r="E4">
        <v>1.6000000000000001E-3</v>
      </c>
      <c r="G4">
        <v>8.0000000000000004E-4</v>
      </c>
      <c r="H4">
        <v>8.9999999999999998E-4</v>
      </c>
      <c r="I4">
        <v>1.1999999999999999E-3</v>
      </c>
      <c r="J4">
        <v>1.5E-3</v>
      </c>
      <c r="L4">
        <v>1.5E-3</v>
      </c>
      <c r="M4">
        <v>1.9E-3</v>
      </c>
      <c r="N4">
        <v>1.6000000000000001E-3</v>
      </c>
      <c r="O4">
        <v>1.6999999999999999E-3</v>
      </c>
      <c r="Q4">
        <v>3.7000000000000002E-3</v>
      </c>
      <c r="R4">
        <v>4.0000000000000001E-3</v>
      </c>
      <c r="S4">
        <v>5.4999999999999997E-3</v>
      </c>
      <c r="T4">
        <v>4.0000000000000001E-3</v>
      </c>
      <c r="V4">
        <v>1.4E-3</v>
      </c>
      <c r="W4">
        <v>2.0999999999999999E-3</v>
      </c>
      <c r="X4">
        <v>1.8E-3</v>
      </c>
      <c r="Y4">
        <v>1.5E-3</v>
      </c>
    </row>
    <row r="5" spans="1:25" x14ac:dyDescent="0.35">
      <c r="A5" s="1" t="s">
        <v>3</v>
      </c>
      <c r="B5">
        <v>0</v>
      </c>
      <c r="C5">
        <v>0</v>
      </c>
      <c r="D5">
        <v>6.9999999999999999E-4</v>
      </c>
      <c r="E5">
        <v>2.0000000000000001E-4</v>
      </c>
      <c r="G5">
        <v>0</v>
      </c>
      <c r="H5">
        <v>0</v>
      </c>
      <c r="I5">
        <v>5.9999999999999995E-4</v>
      </c>
      <c r="J5">
        <v>1E-4</v>
      </c>
      <c r="L5">
        <v>2.0000000000000001E-4</v>
      </c>
      <c r="M5">
        <v>1E-4</v>
      </c>
      <c r="N5">
        <v>1E-3</v>
      </c>
      <c r="O5">
        <v>4.0000000000000002E-4</v>
      </c>
      <c r="Q5">
        <v>0</v>
      </c>
      <c r="R5">
        <v>0</v>
      </c>
      <c r="S5">
        <v>0</v>
      </c>
      <c r="T5">
        <v>0</v>
      </c>
      <c r="V5">
        <v>2.9999999999999997E-4</v>
      </c>
      <c r="W5">
        <v>2.0000000000000001E-4</v>
      </c>
      <c r="X5">
        <v>2.9999999999999997E-4</v>
      </c>
      <c r="Y5">
        <v>2.9999999999999997E-4</v>
      </c>
    </row>
    <row r="6" spans="1:25" x14ac:dyDescent="0.35">
      <c r="A6" t="s">
        <v>5</v>
      </c>
      <c r="F6" t="s">
        <v>17</v>
      </c>
      <c r="K6" t="s">
        <v>29</v>
      </c>
      <c r="P6" t="s">
        <v>41</v>
      </c>
      <c r="U6" t="s">
        <v>53</v>
      </c>
    </row>
    <row r="7" spans="1:25" x14ac:dyDescent="0.35">
      <c r="A7" s="1" t="str">
        <f t="shared" ref="A7:A10" si="4">A2</f>
        <v>Mn</v>
      </c>
      <c r="B7">
        <v>2.5999999999999999E-3</v>
      </c>
      <c r="C7">
        <v>2E-3</v>
      </c>
      <c r="D7">
        <v>7.6E-3</v>
      </c>
      <c r="E7">
        <v>4.0000000000000001E-3</v>
      </c>
      <c r="G7">
        <v>5.0000000000000001E-3</v>
      </c>
      <c r="H7">
        <v>6.0000000000000001E-3</v>
      </c>
      <c r="I7">
        <v>1.0999999999999999E-2</v>
      </c>
      <c r="J7">
        <v>0.01</v>
      </c>
      <c r="L7">
        <v>8.6E-3</v>
      </c>
      <c r="M7">
        <v>1.4E-2</v>
      </c>
      <c r="N7">
        <v>2.3E-2</v>
      </c>
      <c r="O7">
        <v>9.4000000000000004E-3</v>
      </c>
      <c r="Q7">
        <v>5.8999999999999999E-3</v>
      </c>
      <c r="R7">
        <v>8.0000000000000002E-3</v>
      </c>
      <c r="S7">
        <v>1.9E-2</v>
      </c>
      <c r="T7">
        <v>1.2E-2</v>
      </c>
      <c r="V7">
        <v>9.4999999999999998E-3</v>
      </c>
      <c r="W7">
        <v>9.1999999999999998E-3</v>
      </c>
      <c r="X7">
        <v>1.7000000000000001E-2</v>
      </c>
      <c r="Y7">
        <v>1.4E-2</v>
      </c>
    </row>
    <row r="8" spans="1:25" x14ac:dyDescent="0.35">
      <c r="A8" s="1" t="str">
        <f t="shared" si="4"/>
        <v>Zn</v>
      </c>
      <c r="B8">
        <v>5.0000000000000001E-3</v>
      </c>
      <c r="C8">
        <v>5.0000000000000001E-3</v>
      </c>
      <c r="D8">
        <v>1.7999999999999999E-2</v>
      </c>
      <c r="E8">
        <v>1.6E-2</v>
      </c>
      <c r="G8">
        <v>0</v>
      </c>
      <c r="H8">
        <v>0</v>
      </c>
      <c r="I8">
        <v>1.2E-2</v>
      </c>
      <c r="J8">
        <v>9.1999999999999998E-3</v>
      </c>
      <c r="L8">
        <v>0</v>
      </c>
      <c r="M8">
        <v>3.5000000000000003E-2</v>
      </c>
      <c r="N8">
        <v>8.0999999999999996E-3</v>
      </c>
      <c r="O8">
        <v>7.7999999999999996E-3</v>
      </c>
      <c r="Q8">
        <v>0</v>
      </c>
      <c r="R8">
        <v>0</v>
      </c>
      <c r="S8">
        <v>4.8000000000000001E-2</v>
      </c>
      <c r="T8">
        <v>1.0999999999999999E-2</v>
      </c>
      <c r="V8">
        <v>0</v>
      </c>
      <c r="W8">
        <v>0</v>
      </c>
      <c r="X8">
        <v>0.02</v>
      </c>
      <c r="Y8">
        <v>0.01</v>
      </c>
    </row>
    <row r="9" spans="1:25" x14ac:dyDescent="0.35">
      <c r="A9" s="1" t="str">
        <f t="shared" si="4"/>
        <v>Cu</v>
      </c>
      <c r="B9">
        <v>8.9999999999999998E-4</v>
      </c>
      <c r="C9">
        <v>1E-3</v>
      </c>
      <c r="D9">
        <v>1.2999999999999999E-3</v>
      </c>
      <c r="E9">
        <v>1.6000000000000001E-3</v>
      </c>
      <c r="G9">
        <v>5.9999999999999995E-4</v>
      </c>
      <c r="H9">
        <v>8.0000000000000004E-4</v>
      </c>
      <c r="I9">
        <v>7.0000000000000001E-3</v>
      </c>
      <c r="J9">
        <v>1.1999999999999999E-3</v>
      </c>
      <c r="L9">
        <v>1.8E-3</v>
      </c>
      <c r="M9">
        <v>1.6999999999999999E-3</v>
      </c>
      <c r="N9">
        <v>3.0999999999999999E-3</v>
      </c>
      <c r="O9">
        <v>1.6999999999999999E-3</v>
      </c>
      <c r="Q9">
        <v>2.3999999999999998E-3</v>
      </c>
      <c r="R9">
        <v>2.8E-3</v>
      </c>
      <c r="S9">
        <v>5.5999999999999999E-3</v>
      </c>
      <c r="T9">
        <v>3.0999999999999999E-3</v>
      </c>
      <c r="V9">
        <v>1.8E-3</v>
      </c>
      <c r="W9">
        <v>1.4E-3</v>
      </c>
      <c r="X9">
        <v>6.9999999999999999E-4</v>
      </c>
      <c r="Y9">
        <v>5.0000000000000001E-4</v>
      </c>
    </row>
    <row r="10" spans="1:25" x14ac:dyDescent="0.35">
      <c r="A10" s="1" t="str">
        <f t="shared" si="4"/>
        <v>Cd</v>
      </c>
      <c r="B10">
        <v>0</v>
      </c>
      <c r="C10">
        <v>0</v>
      </c>
      <c r="D10">
        <v>5.0000000000000001E-4</v>
      </c>
      <c r="E10">
        <v>0</v>
      </c>
      <c r="G10">
        <v>0</v>
      </c>
      <c r="H10">
        <v>0</v>
      </c>
      <c r="I10">
        <v>0</v>
      </c>
      <c r="J10">
        <v>1E-4</v>
      </c>
      <c r="L10">
        <v>1E-4</v>
      </c>
      <c r="M10">
        <v>2E-3</v>
      </c>
      <c r="N10">
        <v>1.9E-3</v>
      </c>
      <c r="O10">
        <v>2.9999999999999997E-4</v>
      </c>
      <c r="Q10">
        <v>2.0000000000000001E-4</v>
      </c>
      <c r="R10">
        <v>2.0000000000000001E-4</v>
      </c>
      <c r="S10">
        <v>1.1999999999999999E-3</v>
      </c>
      <c r="T10">
        <v>2.9999999999999997E-4</v>
      </c>
      <c r="V10">
        <v>2.9999999999999997E-4</v>
      </c>
      <c r="W10">
        <v>5.0000000000000001E-4</v>
      </c>
      <c r="X10">
        <v>1.1999999999999999E-3</v>
      </c>
      <c r="Y10">
        <v>1.1000000000000001E-3</v>
      </c>
    </row>
    <row r="11" spans="1:25" x14ac:dyDescent="0.35">
      <c r="A11" t="s">
        <v>6</v>
      </c>
      <c r="F11" t="s">
        <v>18</v>
      </c>
      <c r="K11" t="s">
        <v>30</v>
      </c>
      <c r="P11" t="s">
        <v>42</v>
      </c>
      <c r="U11" t="s">
        <v>54</v>
      </c>
    </row>
    <row r="12" spans="1:25" x14ac:dyDescent="0.35">
      <c r="A12" s="1" t="str">
        <f t="shared" ref="A12:A15" si="5">A7</f>
        <v>Mn</v>
      </c>
      <c r="B12">
        <v>2.5000000000000001E-3</v>
      </c>
      <c r="C12">
        <v>0</v>
      </c>
      <c r="D12">
        <v>9.4000000000000004E-3</v>
      </c>
      <c r="E12">
        <v>4.8999999999999998E-3</v>
      </c>
      <c r="G12">
        <v>2.3E-3</v>
      </c>
      <c r="H12">
        <v>4.1000000000000003E-3</v>
      </c>
      <c r="I12">
        <v>1.2999999999999999E-2</v>
      </c>
      <c r="J12">
        <v>8.3000000000000001E-3</v>
      </c>
      <c r="L12">
        <v>2.0999999999999999E-3</v>
      </c>
      <c r="M12">
        <v>2E-3</v>
      </c>
      <c r="N12">
        <v>1.7000000000000001E-2</v>
      </c>
      <c r="O12">
        <v>4.0000000000000001E-3</v>
      </c>
      <c r="Q12">
        <v>3.8999999999999998E-3</v>
      </c>
      <c r="R12">
        <v>5.0000000000000001E-3</v>
      </c>
      <c r="S12">
        <v>2.1999999999999999E-2</v>
      </c>
      <c r="T12">
        <v>2.9000000000000001E-2</v>
      </c>
      <c r="V12">
        <v>6.8999999999999999E-3</v>
      </c>
      <c r="W12">
        <v>5.8999999999999999E-3</v>
      </c>
      <c r="X12">
        <v>1.7000000000000001E-2</v>
      </c>
      <c r="Y12">
        <v>1.7000000000000001E-2</v>
      </c>
    </row>
    <row r="13" spans="1:25" x14ac:dyDescent="0.35">
      <c r="A13" s="1" t="str">
        <f t="shared" si="5"/>
        <v>Zn</v>
      </c>
      <c r="B13">
        <v>9.7000000000000003E-3</v>
      </c>
      <c r="C13">
        <v>9.4999999999999998E-3</v>
      </c>
      <c r="D13">
        <v>1.9E-2</v>
      </c>
      <c r="E13">
        <v>5.7000000000000002E-3</v>
      </c>
      <c r="G13">
        <v>0</v>
      </c>
      <c r="H13">
        <v>0</v>
      </c>
      <c r="I13">
        <v>1.4999999999999999E-2</v>
      </c>
      <c r="J13">
        <v>0</v>
      </c>
      <c r="L13">
        <v>0</v>
      </c>
      <c r="M13">
        <v>0</v>
      </c>
      <c r="N13">
        <v>8.1000000000000003E-2</v>
      </c>
      <c r="O13">
        <v>1.6E-2</v>
      </c>
      <c r="Q13">
        <v>0</v>
      </c>
      <c r="R13">
        <v>0</v>
      </c>
      <c r="S13">
        <v>3.5000000000000003E-2</v>
      </c>
      <c r="T13">
        <v>6.4000000000000003E-3</v>
      </c>
      <c r="V13">
        <v>0</v>
      </c>
      <c r="W13">
        <v>0</v>
      </c>
      <c r="X13">
        <v>2.3E-2</v>
      </c>
      <c r="Y13">
        <v>1.0999999999999999E-2</v>
      </c>
    </row>
    <row r="14" spans="1:25" x14ac:dyDescent="0.35">
      <c r="A14" s="1" t="str">
        <f t="shared" si="5"/>
        <v>Cu</v>
      </c>
      <c r="B14">
        <v>8.9999999999999998E-4</v>
      </c>
      <c r="C14">
        <v>1E-3</v>
      </c>
      <c r="D14">
        <v>1.1999999999999999E-3</v>
      </c>
      <c r="E14">
        <v>4.4999999999999997E-3</v>
      </c>
      <c r="G14">
        <v>6.9999999999999999E-4</v>
      </c>
      <c r="H14">
        <v>8.9999999999999998E-4</v>
      </c>
      <c r="I14">
        <v>1E-3</v>
      </c>
      <c r="J14">
        <v>8.0000000000000004E-4</v>
      </c>
      <c r="L14">
        <v>2.0999999999999999E-3</v>
      </c>
      <c r="M14">
        <v>2.5000000000000001E-3</v>
      </c>
      <c r="N14">
        <v>2.7000000000000001E-3</v>
      </c>
      <c r="O14">
        <v>2E-3</v>
      </c>
      <c r="Q14">
        <v>2.3999999999999998E-3</v>
      </c>
      <c r="R14">
        <v>2.8999999999999998E-3</v>
      </c>
      <c r="S14">
        <v>2.5000000000000001E-3</v>
      </c>
      <c r="T14">
        <v>2.5999999999999999E-3</v>
      </c>
      <c r="V14">
        <v>6.9999999999999999E-4</v>
      </c>
      <c r="W14">
        <v>1.5E-3</v>
      </c>
      <c r="X14">
        <v>1.8E-3</v>
      </c>
      <c r="Y14">
        <v>8.9999999999999998E-4</v>
      </c>
    </row>
    <row r="15" spans="1:25" x14ac:dyDescent="0.35">
      <c r="A15" s="1" t="str">
        <f t="shared" si="5"/>
        <v>Cd</v>
      </c>
      <c r="B15">
        <v>0</v>
      </c>
      <c r="C15">
        <v>0</v>
      </c>
      <c r="D15">
        <v>5.9999999999999995E-4</v>
      </c>
      <c r="E15">
        <v>1E-4</v>
      </c>
      <c r="G15">
        <v>1E-4</v>
      </c>
      <c r="H15">
        <v>2.0000000000000001E-4</v>
      </c>
      <c r="I15">
        <v>8.0000000000000004E-4</v>
      </c>
      <c r="J15">
        <v>2.0000000000000001E-4</v>
      </c>
      <c r="L15">
        <v>2.0000000000000001E-4</v>
      </c>
      <c r="M15">
        <v>4.0000000000000002E-4</v>
      </c>
      <c r="N15">
        <v>1.8E-3</v>
      </c>
      <c r="O15">
        <v>8.0000000000000004E-4</v>
      </c>
      <c r="Q15">
        <v>0</v>
      </c>
      <c r="R15">
        <v>0</v>
      </c>
      <c r="S15">
        <v>4.0000000000000002E-4</v>
      </c>
      <c r="T15">
        <v>2.9999999999999997E-4</v>
      </c>
      <c r="V15">
        <v>2.9999999999999997E-4</v>
      </c>
      <c r="W15">
        <v>2.0000000000000001E-4</v>
      </c>
      <c r="X15">
        <v>1E-3</v>
      </c>
      <c r="Y15">
        <v>8.0000000000000004E-4</v>
      </c>
    </row>
    <row r="16" spans="1:25" x14ac:dyDescent="0.35">
      <c r="A16" t="s">
        <v>7</v>
      </c>
      <c r="F16" t="s">
        <v>19</v>
      </c>
      <c r="K16" t="s">
        <v>31</v>
      </c>
      <c r="P16" t="s">
        <v>43</v>
      </c>
      <c r="U16" t="s">
        <v>55</v>
      </c>
    </row>
    <row r="17" spans="1:25" x14ac:dyDescent="0.35">
      <c r="A17" s="1" t="str">
        <f t="shared" ref="A17:A20" si="6">A12</f>
        <v>Mn</v>
      </c>
      <c r="B17">
        <v>2E-3</v>
      </c>
      <c r="C17">
        <v>0</v>
      </c>
      <c r="D17">
        <v>2.5999999999999999E-2</v>
      </c>
      <c r="E17">
        <v>0.01</v>
      </c>
      <c r="G17">
        <v>0.01</v>
      </c>
      <c r="H17">
        <v>1.0999999999999999E-2</v>
      </c>
      <c r="I17">
        <v>0.05</v>
      </c>
      <c r="J17">
        <v>3.9E-2</v>
      </c>
      <c r="L17">
        <v>2E-3</v>
      </c>
      <c r="M17">
        <v>2.7000000000000001E-3</v>
      </c>
      <c r="N17">
        <v>1.2E-2</v>
      </c>
      <c r="O17">
        <v>8.0999999999999996E-3</v>
      </c>
      <c r="Q17">
        <v>4.1000000000000003E-3</v>
      </c>
      <c r="R17">
        <v>5.0000000000000001E-3</v>
      </c>
      <c r="S17">
        <v>4.2000000000000003E-2</v>
      </c>
      <c r="T17">
        <v>4.1000000000000002E-2</v>
      </c>
      <c r="V17">
        <v>6.0000000000000001E-3</v>
      </c>
      <c r="W17">
        <v>3.0000000000000001E-3</v>
      </c>
      <c r="X17">
        <v>4.2999999999999997E-2</v>
      </c>
      <c r="Y17">
        <v>0.03</v>
      </c>
    </row>
    <row r="18" spans="1:25" x14ac:dyDescent="0.35">
      <c r="A18" s="1" t="str">
        <f t="shared" si="6"/>
        <v>Zn</v>
      </c>
      <c r="B18">
        <v>0</v>
      </c>
      <c r="C18">
        <v>0</v>
      </c>
      <c r="D18">
        <v>2.7E-2</v>
      </c>
      <c r="E18">
        <v>2.5999999999999999E-2</v>
      </c>
      <c r="G18">
        <v>0</v>
      </c>
      <c r="H18">
        <v>0</v>
      </c>
      <c r="I18">
        <v>3.1E-2</v>
      </c>
      <c r="J18">
        <v>2.5000000000000001E-2</v>
      </c>
      <c r="L18">
        <v>0</v>
      </c>
      <c r="M18">
        <v>0</v>
      </c>
      <c r="N18">
        <v>4.4999999999999998E-2</v>
      </c>
      <c r="O18">
        <v>1.7000000000000001E-2</v>
      </c>
      <c r="Q18">
        <v>0</v>
      </c>
      <c r="R18">
        <v>0</v>
      </c>
      <c r="S18">
        <v>3.4000000000000002E-2</v>
      </c>
      <c r="T18">
        <v>2.3E-2</v>
      </c>
      <c r="V18">
        <v>0</v>
      </c>
      <c r="W18">
        <v>0</v>
      </c>
      <c r="X18">
        <v>2.8000000000000001E-2</v>
      </c>
      <c r="Y18">
        <v>1.6E-2</v>
      </c>
    </row>
    <row r="19" spans="1:25" x14ac:dyDescent="0.35">
      <c r="A19" s="1" t="str">
        <f t="shared" si="6"/>
        <v>Cu</v>
      </c>
      <c r="B19">
        <v>8.9999999999999998E-4</v>
      </c>
      <c r="C19">
        <v>1.1000000000000001E-3</v>
      </c>
      <c r="D19">
        <v>2E-3</v>
      </c>
      <c r="E19">
        <v>1.6999999999999999E-3</v>
      </c>
      <c r="G19">
        <v>6.9999999999999999E-4</v>
      </c>
      <c r="H19">
        <v>6.9999999999999999E-4</v>
      </c>
      <c r="I19">
        <v>3.3E-3</v>
      </c>
      <c r="J19">
        <v>3.7000000000000002E-3</v>
      </c>
      <c r="L19">
        <v>1E-3</v>
      </c>
      <c r="M19">
        <v>1.1000000000000001E-3</v>
      </c>
      <c r="N19">
        <v>3.8999999999999998E-3</v>
      </c>
      <c r="O19">
        <v>7.6E-3</v>
      </c>
      <c r="Q19">
        <v>5.0000000000000001E-3</v>
      </c>
      <c r="R19">
        <v>3.3999999999999998E-3</v>
      </c>
      <c r="S19">
        <v>4.7000000000000002E-3</v>
      </c>
      <c r="T19">
        <v>4.1999999999999997E-3</v>
      </c>
      <c r="V19">
        <v>1.4E-3</v>
      </c>
      <c r="W19">
        <v>5.9999999999999995E-4</v>
      </c>
      <c r="X19">
        <v>2.8999999999999998E-3</v>
      </c>
      <c r="Y19">
        <v>2.8999999999999998E-3</v>
      </c>
    </row>
    <row r="20" spans="1:25" x14ac:dyDescent="0.35">
      <c r="A20" s="1" t="str">
        <f t="shared" si="6"/>
        <v>Cd</v>
      </c>
      <c r="B20">
        <v>0</v>
      </c>
      <c r="C20">
        <v>0</v>
      </c>
      <c r="D20">
        <v>8.9999999999999998E-4</v>
      </c>
      <c r="E20">
        <v>5.0000000000000001E-4</v>
      </c>
      <c r="G20">
        <v>3.5999999999999999E-3</v>
      </c>
      <c r="H20">
        <v>1.6000000000000001E-3</v>
      </c>
      <c r="I20">
        <v>1.1000000000000001E-3</v>
      </c>
      <c r="J20">
        <v>8.9999999999999998E-4</v>
      </c>
      <c r="L20">
        <v>0</v>
      </c>
      <c r="M20">
        <v>0</v>
      </c>
      <c r="N20">
        <v>0</v>
      </c>
      <c r="O20">
        <v>2.2000000000000001E-3</v>
      </c>
      <c r="Q20">
        <v>0</v>
      </c>
      <c r="R20">
        <v>0</v>
      </c>
      <c r="S20">
        <v>6.9999999999999999E-4</v>
      </c>
      <c r="T20">
        <v>5.0000000000000001E-4</v>
      </c>
      <c r="V20">
        <v>1E-4</v>
      </c>
      <c r="W20">
        <v>0</v>
      </c>
      <c r="X20">
        <v>1E-4</v>
      </c>
      <c r="Y20">
        <v>0</v>
      </c>
    </row>
    <row r="21" spans="1:25" x14ac:dyDescent="0.35">
      <c r="A21" t="s">
        <v>8</v>
      </c>
      <c r="F21" t="s">
        <v>20</v>
      </c>
      <c r="K21" t="s">
        <v>32</v>
      </c>
      <c r="P21" t="s">
        <v>44</v>
      </c>
      <c r="U21" t="s">
        <v>56</v>
      </c>
    </row>
    <row r="22" spans="1:25" x14ac:dyDescent="0.35">
      <c r="A22" s="1" t="str">
        <f t="shared" ref="A22:A25" si="7">A17</f>
        <v>Mn</v>
      </c>
      <c r="B22">
        <v>4.7000000000000002E-3</v>
      </c>
      <c r="C22">
        <v>5.7999999999999996E-3</v>
      </c>
      <c r="D22">
        <v>1.0999999999999999E-2</v>
      </c>
      <c r="E22">
        <v>1.2999999999999999E-2</v>
      </c>
      <c r="G22">
        <v>4.0000000000000001E-3</v>
      </c>
      <c r="H22">
        <v>3.0000000000000001E-3</v>
      </c>
      <c r="I22">
        <v>1.7000000000000001E-2</v>
      </c>
      <c r="J22">
        <v>1.9E-2</v>
      </c>
      <c r="L22">
        <v>3.5999999999999999E-3</v>
      </c>
      <c r="M22">
        <v>5.5999999999999999E-3</v>
      </c>
      <c r="N22">
        <v>1.0999999999999999E-2</v>
      </c>
      <c r="O22">
        <v>1.0999999999999999E-2</v>
      </c>
      <c r="Q22">
        <v>4.8999999999999998E-3</v>
      </c>
      <c r="R22">
        <v>5.8999999999999999E-3</v>
      </c>
      <c r="S22">
        <v>1.4E-2</v>
      </c>
      <c r="T22">
        <v>1.2999999999999999E-2</v>
      </c>
      <c r="V22">
        <v>9.7999999999999997E-3</v>
      </c>
      <c r="W22">
        <v>8.5000000000000006E-3</v>
      </c>
      <c r="X22">
        <v>1.2999999999999999E-2</v>
      </c>
      <c r="Y22">
        <v>1.7999999999999999E-2</v>
      </c>
    </row>
    <row r="23" spans="1:25" x14ac:dyDescent="0.35">
      <c r="A23" s="1" t="str">
        <f t="shared" si="7"/>
        <v>Zn</v>
      </c>
      <c r="B23">
        <v>7.0000000000000001E-3</v>
      </c>
      <c r="C23">
        <v>7.9000000000000008E-3</v>
      </c>
      <c r="D23">
        <v>2.1000000000000001E-2</v>
      </c>
      <c r="E23">
        <v>1.9E-2</v>
      </c>
      <c r="G23">
        <v>0</v>
      </c>
      <c r="H23">
        <v>0</v>
      </c>
      <c r="I23">
        <v>1.7999999999999999E-2</v>
      </c>
      <c r="J23">
        <v>1.7999999999999999E-2</v>
      </c>
      <c r="L23">
        <v>0</v>
      </c>
      <c r="M23">
        <v>0</v>
      </c>
      <c r="N23">
        <v>3.4000000000000002E-2</v>
      </c>
      <c r="O23">
        <v>2.5999999999999999E-2</v>
      </c>
      <c r="Q23">
        <v>0</v>
      </c>
      <c r="R23">
        <v>0</v>
      </c>
      <c r="S23">
        <v>1.7999999999999999E-2</v>
      </c>
      <c r="T23">
        <v>7.1999999999999998E-3</v>
      </c>
      <c r="V23">
        <v>0</v>
      </c>
      <c r="W23">
        <v>0</v>
      </c>
      <c r="X23">
        <v>2.3E-2</v>
      </c>
      <c r="Y23">
        <v>0.02</v>
      </c>
    </row>
    <row r="24" spans="1:25" x14ac:dyDescent="0.35">
      <c r="A24" s="1" t="str">
        <f t="shared" si="7"/>
        <v>Cu</v>
      </c>
      <c r="B24">
        <v>3.0999999999999999E-3</v>
      </c>
      <c r="C24">
        <v>3.5999999999999999E-3</v>
      </c>
      <c r="D24">
        <v>1.2999999999999999E-3</v>
      </c>
      <c r="E24">
        <v>2.0999999999999999E-3</v>
      </c>
      <c r="G24">
        <v>1.4E-3</v>
      </c>
      <c r="H24">
        <v>1.5E-3</v>
      </c>
      <c r="I24">
        <v>3.7000000000000002E-3</v>
      </c>
      <c r="J24">
        <v>4.1000000000000003E-3</v>
      </c>
      <c r="L24">
        <v>8.9999999999999998E-4</v>
      </c>
      <c r="M24">
        <v>1.2999999999999999E-3</v>
      </c>
      <c r="N24">
        <v>3.2000000000000002E-3</v>
      </c>
      <c r="O24">
        <v>2.8999999999999998E-3</v>
      </c>
      <c r="Q24">
        <v>1.2999999999999999E-3</v>
      </c>
      <c r="R24">
        <v>1.2999999999999999E-3</v>
      </c>
      <c r="S24">
        <v>4.5999999999999999E-3</v>
      </c>
      <c r="T24">
        <v>3.0000000000000001E-3</v>
      </c>
      <c r="V24">
        <v>2.8999999999999998E-3</v>
      </c>
      <c r="W24">
        <v>2.3999999999999998E-3</v>
      </c>
      <c r="X24">
        <v>3.2000000000000002E-3</v>
      </c>
      <c r="Y24">
        <v>3.0999999999999999E-3</v>
      </c>
    </row>
    <row r="25" spans="1:25" x14ac:dyDescent="0.35">
      <c r="A25" s="1" t="str">
        <f t="shared" si="7"/>
        <v>Cd</v>
      </c>
      <c r="B25">
        <v>2.0000000000000001E-4</v>
      </c>
      <c r="C25">
        <v>2.0000000000000001E-4</v>
      </c>
      <c r="D25">
        <v>5.9999999999999995E-4</v>
      </c>
      <c r="E25">
        <v>4.0000000000000002E-4</v>
      </c>
      <c r="G25">
        <v>5.0000000000000001E-4</v>
      </c>
      <c r="H25">
        <v>8.9999999999999998E-4</v>
      </c>
      <c r="I25">
        <v>8.9999999999999998E-4</v>
      </c>
      <c r="J25">
        <v>1E-3</v>
      </c>
      <c r="L25">
        <v>5.0000000000000001E-4</v>
      </c>
      <c r="M25">
        <v>1E-4</v>
      </c>
      <c r="N25">
        <v>4.0000000000000002E-4</v>
      </c>
      <c r="O25">
        <v>5.9999999999999995E-4</v>
      </c>
      <c r="Q25">
        <v>2.9999999999999997E-4</v>
      </c>
      <c r="R25">
        <v>0</v>
      </c>
      <c r="S25">
        <v>1E-4</v>
      </c>
      <c r="T25">
        <v>2.0000000000000001E-4</v>
      </c>
      <c r="V25">
        <v>2.9999999999999997E-4</v>
      </c>
      <c r="W25">
        <v>2.0000000000000001E-4</v>
      </c>
      <c r="X25">
        <v>2.9999999999999997E-4</v>
      </c>
      <c r="Y25">
        <v>2.0000000000000001E-4</v>
      </c>
    </row>
    <row r="26" spans="1:25" x14ac:dyDescent="0.35">
      <c r="A26" t="s">
        <v>9</v>
      </c>
      <c r="F26" t="s">
        <v>21</v>
      </c>
      <c r="K26" t="s">
        <v>33</v>
      </c>
      <c r="P26" t="s">
        <v>45</v>
      </c>
      <c r="U26" t="s">
        <v>57</v>
      </c>
    </row>
    <row r="27" spans="1:25" x14ac:dyDescent="0.35">
      <c r="A27" s="1" t="str">
        <f t="shared" ref="A27:A30" si="8">A22</f>
        <v>Mn</v>
      </c>
      <c r="B27">
        <v>0</v>
      </c>
      <c r="C27">
        <v>2E-3</v>
      </c>
      <c r="D27">
        <v>1.2999999999999999E-2</v>
      </c>
      <c r="E27">
        <v>2.9000000000000001E-2</v>
      </c>
      <c r="G27">
        <v>4.1000000000000003E-3</v>
      </c>
      <c r="H27">
        <v>1.2999999999999999E-2</v>
      </c>
      <c r="I27">
        <v>2.1999999999999999E-2</v>
      </c>
      <c r="J27">
        <v>1.9E-2</v>
      </c>
      <c r="L27">
        <v>1.6E-2</v>
      </c>
      <c r="M27">
        <v>0.02</v>
      </c>
      <c r="N27">
        <v>2.3E-2</v>
      </c>
      <c r="O27">
        <v>0.02</v>
      </c>
      <c r="Q27">
        <v>1.7999999999999999E-2</v>
      </c>
      <c r="R27">
        <v>1.4999999999999999E-2</v>
      </c>
      <c r="S27">
        <v>2.7E-2</v>
      </c>
      <c r="T27">
        <v>0.03</v>
      </c>
      <c r="V27">
        <v>8.2000000000000007E-3</v>
      </c>
      <c r="W27">
        <v>6.3E-3</v>
      </c>
      <c r="X27">
        <v>1.2E-2</v>
      </c>
      <c r="Y27">
        <v>1.2E-2</v>
      </c>
    </row>
    <row r="28" spans="1:25" x14ac:dyDescent="0.35">
      <c r="A28" s="1" t="str">
        <f t="shared" si="8"/>
        <v>Zn</v>
      </c>
      <c r="B28">
        <v>0</v>
      </c>
      <c r="C28">
        <v>0</v>
      </c>
      <c r="D28">
        <v>2.1000000000000001E-2</v>
      </c>
      <c r="E28">
        <v>8.0000000000000002E-3</v>
      </c>
      <c r="G28">
        <v>0</v>
      </c>
      <c r="H28">
        <v>0</v>
      </c>
      <c r="I28">
        <v>1.9E-2</v>
      </c>
      <c r="J28">
        <v>1.4E-2</v>
      </c>
      <c r="L28">
        <v>0</v>
      </c>
      <c r="M28">
        <v>0</v>
      </c>
      <c r="N28">
        <v>1.6E-2</v>
      </c>
      <c r="O28">
        <v>9.4999999999999998E-3</v>
      </c>
      <c r="Q28">
        <v>0</v>
      </c>
      <c r="R28">
        <v>0</v>
      </c>
      <c r="S28">
        <v>1.4E-2</v>
      </c>
      <c r="T28">
        <v>0</v>
      </c>
      <c r="V28">
        <v>0</v>
      </c>
      <c r="W28">
        <v>0</v>
      </c>
      <c r="X28">
        <v>7.1999999999999998E-3</v>
      </c>
      <c r="Y28">
        <v>6.7999999999999996E-3</v>
      </c>
    </row>
    <row r="29" spans="1:25" x14ac:dyDescent="0.35">
      <c r="A29" s="1" t="str">
        <f t="shared" si="8"/>
        <v>Cu</v>
      </c>
      <c r="B29">
        <v>5.9999999999999995E-4</v>
      </c>
      <c r="C29">
        <v>5.9999999999999995E-4</v>
      </c>
      <c r="D29">
        <v>1E-3</v>
      </c>
      <c r="E29">
        <v>8.9999999999999998E-4</v>
      </c>
      <c r="G29">
        <v>1.8E-3</v>
      </c>
      <c r="H29">
        <v>1.9E-3</v>
      </c>
      <c r="I29">
        <v>2.3999999999999998E-3</v>
      </c>
      <c r="J29">
        <v>2.0999999999999999E-3</v>
      </c>
      <c r="L29">
        <v>2.2000000000000001E-3</v>
      </c>
      <c r="M29">
        <v>1.6000000000000001E-4</v>
      </c>
      <c r="N29">
        <v>2E-3</v>
      </c>
      <c r="O29">
        <v>2.0999999999999999E-3</v>
      </c>
      <c r="Q29">
        <v>2E-3</v>
      </c>
      <c r="R29">
        <v>3.7000000000000002E-3</v>
      </c>
      <c r="S29">
        <v>4.0000000000000001E-3</v>
      </c>
      <c r="T29">
        <v>3.3E-3</v>
      </c>
      <c r="V29">
        <v>2.5999999999999999E-3</v>
      </c>
      <c r="W29">
        <v>2.3999999999999998E-3</v>
      </c>
      <c r="X29">
        <v>3.3999999999999998E-3</v>
      </c>
      <c r="Y29">
        <v>4.4000000000000003E-3</v>
      </c>
    </row>
    <row r="30" spans="1:25" x14ac:dyDescent="0.35">
      <c r="A30" s="1" t="str">
        <f t="shared" si="8"/>
        <v>Cd</v>
      </c>
      <c r="B30">
        <v>0</v>
      </c>
      <c r="C30">
        <v>0</v>
      </c>
      <c r="D30">
        <v>6.9999999999999999E-4</v>
      </c>
      <c r="E30">
        <v>4.0000000000000002E-4</v>
      </c>
      <c r="G30">
        <v>0</v>
      </c>
      <c r="H30">
        <v>0</v>
      </c>
      <c r="I30">
        <v>0</v>
      </c>
      <c r="J30">
        <v>0</v>
      </c>
      <c r="L30">
        <v>0</v>
      </c>
      <c r="M30">
        <v>0</v>
      </c>
      <c r="N30">
        <v>2.0000000000000001E-4</v>
      </c>
      <c r="O30">
        <v>1E-4</v>
      </c>
      <c r="Q30">
        <v>0</v>
      </c>
      <c r="R30">
        <v>2.9999999999999997E-4</v>
      </c>
      <c r="S30">
        <v>2.0000000000000001E-4</v>
      </c>
      <c r="T30">
        <v>4.0000000000000002E-4</v>
      </c>
      <c r="V30">
        <v>2.0000000000000001E-4</v>
      </c>
      <c r="W30">
        <v>2.0000000000000001E-4</v>
      </c>
      <c r="X30">
        <v>2.9999999999999997E-4</v>
      </c>
      <c r="Y30">
        <v>4.0000000000000002E-4</v>
      </c>
    </row>
    <row r="31" spans="1:25" x14ac:dyDescent="0.35">
      <c r="A31" t="s">
        <v>10</v>
      </c>
      <c r="F31" t="s">
        <v>22</v>
      </c>
      <c r="K31" t="s">
        <v>34</v>
      </c>
      <c r="P31" t="s">
        <v>46</v>
      </c>
      <c r="U31" t="s">
        <v>58</v>
      </c>
    </row>
    <row r="32" spans="1:25" x14ac:dyDescent="0.35">
      <c r="A32" s="1" t="str">
        <f t="shared" ref="A32:A35" si="9">A27</f>
        <v>Mn</v>
      </c>
      <c r="B32">
        <v>3.0000000000000001E-3</v>
      </c>
      <c r="C32">
        <v>5.0000000000000001E-3</v>
      </c>
      <c r="D32">
        <v>0.02</v>
      </c>
      <c r="E32">
        <v>0.02</v>
      </c>
      <c r="G32">
        <v>3.8E-3</v>
      </c>
      <c r="H32">
        <v>3.8E-3</v>
      </c>
      <c r="I32">
        <v>1.2E-2</v>
      </c>
      <c r="J32">
        <v>7.0000000000000001E-3</v>
      </c>
      <c r="L32">
        <v>9.1000000000000004E-3</v>
      </c>
      <c r="M32">
        <v>8.3999999999999995E-3</v>
      </c>
      <c r="N32">
        <v>1.4999999999999999E-2</v>
      </c>
      <c r="O32">
        <v>1.2E-2</v>
      </c>
      <c r="Q32">
        <v>3.5999999999999999E-3</v>
      </c>
      <c r="R32">
        <v>2E-3</v>
      </c>
      <c r="S32">
        <v>9.4999999999999998E-3</v>
      </c>
      <c r="T32">
        <v>1.2E-2</v>
      </c>
      <c r="V32">
        <v>8.0999999999999996E-3</v>
      </c>
      <c r="W32">
        <v>9.2999999999999992E-3</v>
      </c>
      <c r="X32">
        <v>0.01</v>
      </c>
      <c r="Y32">
        <v>5.1999999999999998E-3</v>
      </c>
    </row>
    <row r="33" spans="1:25" x14ac:dyDescent="0.35">
      <c r="A33" s="1" t="str">
        <f t="shared" si="9"/>
        <v>Zn</v>
      </c>
      <c r="B33">
        <v>0</v>
      </c>
      <c r="C33">
        <v>0</v>
      </c>
      <c r="D33">
        <v>0.02</v>
      </c>
      <c r="E33">
        <v>7.0000000000000001E-3</v>
      </c>
      <c r="G33">
        <v>0</v>
      </c>
      <c r="H33">
        <v>0</v>
      </c>
      <c r="I33">
        <v>1.7999999999999999E-2</v>
      </c>
      <c r="J33">
        <v>1.4999999999999999E-2</v>
      </c>
      <c r="L33">
        <v>0</v>
      </c>
      <c r="M33">
        <v>0</v>
      </c>
      <c r="N33">
        <v>1.6E-2</v>
      </c>
      <c r="O33">
        <v>6.0000000000000001E-3</v>
      </c>
      <c r="Q33">
        <v>6.3E-3</v>
      </c>
      <c r="R33">
        <v>0</v>
      </c>
      <c r="S33">
        <v>1.4E-2</v>
      </c>
      <c r="T33">
        <v>0</v>
      </c>
      <c r="V33">
        <v>0</v>
      </c>
      <c r="W33">
        <v>0</v>
      </c>
      <c r="X33">
        <v>1.6E-2</v>
      </c>
      <c r="Y33">
        <v>7.7000000000000002E-3</v>
      </c>
    </row>
    <row r="34" spans="1:25" x14ac:dyDescent="0.35">
      <c r="A34" s="1" t="str">
        <f t="shared" si="9"/>
        <v>Cu</v>
      </c>
      <c r="B34">
        <v>1.6E-2</v>
      </c>
      <c r="C34">
        <v>1.5E-3</v>
      </c>
      <c r="D34">
        <v>1.9E-3</v>
      </c>
      <c r="E34">
        <v>1.6000000000000001E-3</v>
      </c>
      <c r="G34">
        <v>1.2999999999999999E-3</v>
      </c>
      <c r="H34">
        <v>1.2999999999999999E-3</v>
      </c>
      <c r="I34">
        <v>1.2999999999999999E-3</v>
      </c>
      <c r="J34">
        <v>1.6000000000000001E-3</v>
      </c>
      <c r="L34">
        <v>2.2000000000000001E-3</v>
      </c>
      <c r="M34">
        <v>2E-3</v>
      </c>
      <c r="N34">
        <v>3.0999999999999999E-3</v>
      </c>
      <c r="O34">
        <v>2.5999999999999999E-3</v>
      </c>
      <c r="Q34">
        <v>1.1000000000000001E-3</v>
      </c>
      <c r="R34">
        <v>1.8E-3</v>
      </c>
      <c r="S34">
        <v>2.3999999999999998E-3</v>
      </c>
      <c r="T34">
        <v>2E-3</v>
      </c>
      <c r="V34">
        <v>1.2999999999999999E-3</v>
      </c>
      <c r="W34">
        <v>5.9999999999999995E-4</v>
      </c>
      <c r="X34">
        <v>5.8999999999999999E-3</v>
      </c>
      <c r="Y34">
        <v>3.8999999999999998E-3</v>
      </c>
    </row>
    <row r="35" spans="1:25" x14ac:dyDescent="0.35">
      <c r="A35" s="1" t="str">
        <f t="shared" si="9"/>
        <v>Cd</v>
      </c>
      <c r="B35">
        <v>2.9999999999999997E-4</v>
      </c>
      <c r="C35">
        <v>2.9999999999999997E-4</v>
      </c>
      <c r="D35">
        <v>2.8999999999999998E-3</v>
      </c>
      <c r="E35">
        <v>2.9999999999999997E-4</v>
      </c>
      <c r="G35">
        <v>0</v>
      </c>
      <c r="H35">
        <v>0</v>
      </c>
      <c r="I35">
        <v>0</v>
      </c>
      <c r="J35">
        <v>0</v>
      </c>
      <c r="L35">
        <v>2.0000000000000001E-4</v>
      </c>
      <c r="M35">
        <v>0</v>
      </c>
      <c r="N35">
        <v>8.0000000000000004E-4</v>
      </c>
      <c r="O35">
        <v>5.0000000000000001E-4</v>
      </c>
      <c r="Q35">
        <v>0</v>
      </c>
      <c r="R35">
        <v>0</v>
      </c>
      <c r="S35">
        <v>0</v>
      </c>
      <c r="T35">
        <v>0</v>
      </c>
      <c r="V35">
        <v>8.0000000000000004E-4</v>
      </c>
      <c r="W35">
        <v>2.9999999999999997E-4</v>
      </c>
      <c r="X35">
        <v>1.6000000000000001E-3</v>
      </c>
      <c r="Y35">
        <v>1E-3</v>
      </c>
    </row>
    <row r="36" spans="1:25" x14ac:dyDescent="0.35">
      <c r="A36" t="s">
        <v>11</v>
      </c>
      <c r="F36" t="s">
        <v>23</v>
      </c>
      <c r="K36" t="s">
        <v>35</v>
      </c>
      <c r="P36" t="s">
        <v>47</v>
      </c>
      <c r="U36" t="s">
        <v>59</v>
      </c>
    </row>
    <row r="37" spans="1:25" x14ac:dyDescent="0.35">
      <c r="A37" s="1" t="str">
        <f t="shared" ref="A37:A40" si="10">A32</f>
        <v>Mn</v>
      </c>
      <c r="B37">
        <v>5.1000000000000004E-3</v>
      </c>
      <c r="C37">
        <v>5.3E-3</v>
      </c>
      <c r="D37">
        <v>0.02</v>
      </c>
      <c r="E37">
        <v>1.7000000000000001E-2</v>
      </c>
      <c r="G37">
        <v>3.2000000000000002E-3</v>
      </c>
      <c r="H37">
        <v>3.3E-3</v>
      </c>
      <c r="I37">
        <v>1.0999999999999999E-2</v>
      </c>
      <c r="J37">
        <v>9.1000000000000004E-3</v>
      </c>
      <c r="L37">
        <v>7.6E-3</v>
      </c>
      <c r="M37">
        <v>8.2000000000000007E-3</v>
      </c>
      <c r="N37">
        <v>0.01</v>
      </c>
      <c r="O37">
        <v>1.2E-2</v>
      </c>
      <c r="Q37">
        <v>0</v>
      </c>
      <c r="R37">
        <v>0</v>
      </c>
      <c r="S37">
        <v>0</v>
      </c>
      <c r="T37">
        <v>0</v>
      </c>
      <c r="V37">
        <v>7.7000000000000002E-3</v>
      </c>
      <c r="W37">
        <v>6.7999999999999996E-3</v>
      </c>
      <c r="X37">
        <v>1.2E-2</v>
      </c>
      <c r="Y37">
        <v>8.6999999999999994E-3</v>
      </c>
    </row>
    <row r="38" spans="1:25" x14ac:dyDescent="0.35">
      <c r="A38" s="1" t="str">
        <f t="shared" si="10"/>
        <v>Zn</v>
      </c>
      <c r="B38">
        <v>0</v>
      </c>
      <c r="C38">
        <v>0</v>
      </c>
      <c r="D38">
        <v>0.02</v>
      </c>
      <c r="E38">
        <v>1.6E-2</v>
      </c>
      <c r="G38">
        <v>0</v>
      </c>
      <c r="H38">
        <v>0</v>
      </c>
      <c r="I38">
        <v>9.4000000000000004E-3</v>
      </c>
      <c r="J38">
        <v>0</v>
      </c>
      <c r="L38">
        <v>0</v>
      </c>
      <c r="M38">
        <v>0</v>
      </c>
      <c r="N38">
        <v>5.0000000000000001E-3</v>
      </c>
      <c r="O38">
        <v>1.2E-2</v>
      </c>
      <c r="Q38">
        <v>0</v>
      </c>
      <c r="R38">
        <v>0</v>
      </c>
      <c r="S38">
        <v>0</v>
      </c>
      <c r="T38">
        <v>0</v>
      </c>
      <c r="V38">
        <v>0</v>
      </c>
      <c r="W38">
        <v>0</v>
      </c>
      <c r="X38">
        <v>1.2E-2</v>
      </c>
      <c r="Y38">
        <v>0.01</v>
      </c>
    </row>
    <row r="39" spans="1:25" x14ac:dyDescent="0.35">
      <c r="A39" s="1" t="str">
        <f t="shared" si="10"/>
        <v>Cu</v>
      </c>
      <c r="B39">
        <v>1.6000000000000001E-3</v>
      </c>
      <c r="C39">
        <v>1.5E-3</v>
      </c>
      <c r="D39">
        <v>1.9E-3</v>
      </c>
      <c r="E39">
        <v>1.6000000000000001E-3</v>
      </c>
      <c r="G39">
        <v>1.9E-3</v>
      </c>
      <c r="H39">
        <v>2.0999999999999999E-3</v>
      </c>
      <c r="I39">
        <v>1.9E-3</v>
      </c>
      <c r="J39">
        <v>2.2000000000000001E-3</v>
      </c>
      <c r="L39">
        <v>1.9E-3</v>
      </c>
      <c r="M39">
        <v>1.8E-3</v>
      </c>
      <c r="N39">
        <v>2.2000000000000001E-3</v>
      </c>
      <c r="O39">
        <v>2.3999999999999998E-3</v>
      </c>
      <c r="Q39">
        <v>3.8E-3</v>
      </c>
      <c r="R39">
        <v>1.9E-3</v>
      </c>
      <c r="S39">
        <v>2.8E-3</v>
      </c>
      <c r="T39">
        <v>3.8E-3</v>
      </c>
      <c r="V39">
        <v>1.1000000000000001E-3</v>
      </c>
      <c r="W39">
        <v>1E-3</v>
      </c>
      <c r="X39">
        <v>3.8E-3</v>
      </c>
      <c r="Y39">
        <v>2.8999999999999998E-3</v>
      </c>
    </row>
    <row r="40" spans="1:25" x14ac:dyDescent="0.35">
      <c r="A40" s="1" t="str">
        <f t="shared" si="10"/>
        <v>Cd</v>
      </c>
      <c r="B40">
        <v>1E-4</v>
      </c>
      <c r="C40">
        <v>2.0000000000000001E-4</v>
      </c>
      <c r="D40">
        <v>1.8E-3</v>
      </c>
      <c r="E40">
        <v>6.9999999999999999E-4</v>
      </c>
      <c r="G40">
        <v>0</v>
      </c>
      <c r="H40">
        <v>0</v>
      </c>
      <c r="I40">
        <v>0</v>
      </c>
      <c r="J40">
        <v>0</v>
      </c>
      <c r="L40">
        <v>1E-4</v>
      </c>
      <c r="M40">
        <v>1E-4</v>
      </c>
      <c r="N40">
        <v>4.0000000000000002E-4</v>
      </c>
      <c r="O40">
        <v>2.9999999999999997E-4</v>
      </c>
      <c r="Q40">
        <v>0</v>
      </c>
      <c r="R40">
        <v>0</v>
      </c>
      <c r="S40">
        <v>0</v>
      </c>
      <c r="T40">
        <v>0</v>
      </c>
      <c r="V40">
        <v>1E-4</v>
      </c>
      <c r="W40">
        <v>2.0000000000000001E-4</v>
      </c>
      <c r="X40">
        <v>8.9999999999999998E-4</v>
      </c>
      <c r="Y40">
        <v>5.0000000000000001E-4</v>
      </c>
    </row>
    <row r="41" spans="1:25" x14ac:dyDescent="0.35">
      <c r="A41" t="s">
        <v>12</v>
      </c>
      <c r="F41" t="s">
        <v>24</v>
      </c>
      <c r="K41" t="s">
        <v>36</v>
      </c>
      <c r="P41" t="s">
        <v>48</v>
      </c>
      <c r="U41" t="s">
        <v>60</v>
      </c>
    </row>
    <row r="42" spans="1:25" x14ac:dyDescent="0.35">
      <c r="A42" s="1" t="str">
        <f t="shared" ref="A42:A45" si="11">A37</f>
        <v>Mn</v>
      </c>
      <c r="B42">
        <v>2E-3</v>
      </c>
      <c r="C42">
        <v>2E-3</v>
      </c>
      <c r="D42">
        <v>5.3E-3</v>
      </c>
      <c r="E42">
        <v>9.4999999999999998E-3</v>
      </c>
      <c r="G42">
        <v>6.7999999999999996E-3</v>
      </c>
      <c r="H42">
        <v>3.0999999999999999E-3</v>
      </c>
      <c r="I42">
        <v>4.4000000000000003E-3</v>
      </c>
      <c r="J42">
        <v>3.5000000000000001E-3</v>
      </c>
      <c r="L42">
        <v>0</v>
      </c>
      <c r="M42">
        <v>0</v>
      </c>
      <c r="N42">
        <v>0</v>
      </c>
      <c r="O42">
        <v>8.0000000000000002E-3</v>
      </c>
      <c r="Q42">
        <v>4.5999999999999999E-3</v>
      </c>
      <c r="R42">
        <v>4.0000000000000001E-3</v>
      </c>
      <c r="S42">
        <v>0</v>
      </c>
      <c r="T42">
        <v>0</v>
      </c>
      <c r="V42">
        <v>6.7999999999999996E-3</v>
      </c>
      <c r="W42">
        <v>6.1000000000000004E-3</v>
      </c>
      <c r="X42">
        <v>1.2999999999999999E-2</v>
      </c>
      <c r="Y42">
        <v>0.01</v>
      </c>
    </row>
    <row r="43" spans="1:25" x14ac:dyDescent="0.35">
      <c r="A43" s="1" t="str">
        <f t="shared" si="11"/>
        <v>Zn</v>
      </c>
      <c r="B43">
        <v>0</v>
      </c>
      <c r="C43">
        <v>2E-3</v>
      </c>
      <c r="D43">
        <v>0</v>
      </c>
      <c r="E43">
        <v>6.0000000000000001E-3</v>
      </c>
      <c r="G43">
        <v>0</v>
      </c>
      <c r="H43">
        <v>0</v>
      </c>
      <c r="I43">
        <v>5.1999999999999998E-3</v>
      </c>
      <c r="J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1.7999999999999999E-2</v>
      </c>
      <c r="T43">
        <v>0</v>
      </c>
      <c r="V43">
        <v>0</v>
      </c>
      <c r="W43">
        <v>0</v>
      </c>
      <c r="X43">
        <v>7.7999999999999996E-3</v>
      </c>
      <c r="Y43">
        <v>0.01</v>
      </c>
    </row>
    <row r="44" spans="1:25" x14ac:dyDescent="0.35">
      <c r="A44" s="1" t="str">
        <f t="shared" si="11"/>
        <v>Cu</v>
      </c>
      <c r="B44">
        <v>1.8E-3</v>
      </c>
      <c r="C44">
        <v>2.2000000000000001E-3</v>
      </c>
      <c r="D44">
        <v>3.2000000000000002E-3</v>
      </c>
      <c r="E44">
        <v>2E-3</v>
      </c>
      <c r="G44">
        <v>1.9E-3</v>
      </c>
      <c r="H44">
        <v>1.9E-3</v>
      </c>
      <c r="I44">
        <v>1.6000000000000001E-3</v>
      </c>
      <c r="J44">
        <v>2E-3</v>
      </c>
      <c r="L44">
        <v>1.5E-3</v>
      </c>
      <c r="M44">
        <v>1.1999999999999999E-3</v>
      </c>
      <c r="N44">
        <v>2.8E-3</v>
      </c>
      <c r="O44">
        <v>2E-3</v>
      </c>
      <c r="Q44">
        <v>1.4E-3</v>
      </c>
      <c r="R44">
        <v>1.5E-3</v>
      </c>
      <c r="S44">
        <v>1.9E-3</v>
      </c>
      <c r="T44">
        <v>1.8E-3</v>
      </c>
      <c r="V44">
        <v>1E-3</v>
      </c>
      <c r="W44">
        <v>8.9999999999999998E-4</v>
      </c>
      <c r="X44">
        <v>2.8999999999999998E-3</v>
      </c>
      <c r="Y44">
        <v>2.8999999999999998E-3</v>
      </c>
    </row>
    <row r="45" spans="1:25" x14ac:dyDescent="0.35">
      <c r="A45" s="1" t="str">
        <f t="shared" si="11"/>
        <v>Cd</v>
      </c>
      <c r="B45">
        <v>0</v>
      </c>
      <c r="C45">
        <v>0</v>
      </c>
      <c r="D45">
        <v>0</v>
      </c>
      <c r="E45">
        <v>0</v>
      </c>
      <c r="G45">
        <v>2.9999999999999997E-4</v>
      </c>
      <c r="H45">
        <v>5.9999999999999995E-4</v>
      </c>
      <c r="I45">
        <v>5.9999999999999995E-4</v>
      </c>
      <c r="J45">
        <v>4.0000000000000002E-4</v>
      </c>
      <c r="L45">
        <v>0</v>
      </c>
      <c r="M45">
        <v>1E-4</v>
      </c>
      <c r="N45">
        <v>1E-4</v>
      </c>
      <c r="O45">
        <v>2.0000000000000001E-4</v>
      </c>
      <c r="Q45">
        <v>0</v>
      </c>
      <c r="R45">
        <v>0</v>
      </c>
      <c r="S45">
        <v>0</v>
      </c>
      <c r="T45">
        <v>0</v>
      </c>
      <c r="V45">
        <v>0</v>
      </c>
      <c r="W45">
        <v>0</v>
      </c>
      <c r="X45">
        <v>6.9999999999999999E-4</v>
      </c>
      <c r="Y45">
        <v>5.9999999999999995E-4</v>
      </c>
    </row>
    <row r="46" spans="1:25" x14ac:dyDescent="0.35">
      <c r="A46" t="s">
        <v>13</v>
      </c>
      <c r="F46" t="s">
        <v>25</v>
      </c>
      <c r="K46" t="s">
        <v>37</v>
      </c>
      <c r="P46" t="s">
        <v>49</v>
      </c>
      <c r="U46" t="s">
        <v>61</v>
      </c>
    </row>
    <row r="47" spans="1:25" x14ac:dyDescent="0.35">
      <c r="A47" s="1" t="str">
        <f t="shared" ref="A47:A50" si="12">A42</f>
        <v>Mn</v>
      </c>
      <c r="B47">
        <v>0</v>
      </c>
      <c r="C47">
        <v>0</v>
      </c>
      <c r="D47">
        <v>9.4999999999999998E-3</v>
      </c>
      <c r="E47">
        <v>0.01</v>
      </c>
      <c r="G47">
        <v>1.9E-2</v>
      </c>
      <c r="H47">
        <v>2.3E-2</v>
      </c>
      <c r="I47">
        <v>7.1999999999999998E-3</v>
      </c>
      <c r="J47">
        <v>1.7999999999999999E-2</v>
      </c>
      <c r="L47">
        <v>0</v>
      </c>
      <c r="M47">
        <v>0</v>
      </c>
      <c r="N47">
        <v>7.4000000000000003E-3</v>
      </c>
      <c r="O47">
        <v>6.0000000000000001E-3</v>
      </c>
      <c r="Q47">
        <v>0.01</v>
      </c>
      <c r="R47">
        <v>0.01</v>
      </c>
      <c r="S47">
        <v>2.3E-2</v>
      </c>
      <c r="T47">
        <v>1.4999999999999999E-2</v>
      </c>
      <c r="V47">
        <v>5.8999999999999999E-3</v>
      </c>
      <c r="W47">
        <v>5.0000000000000001E-3</v>
      </c>
      <c r="X47">
        <v>3.3E-3</v>
      </c>
      <c r="Y47">
        <v>4.5999999999999999E-2</v>
      </c>
    </row>
    <row r="48" spans="1:25" x14ac:dyDescent="0.35">
      <c r="A48" s="1" t="str">
        <f t="shared" si="12"/>
        <v>Zn</v>
      </c>
      <c r="B48">
        <v>0</v>
      </c>
      <c r="C48">
        <v>0</v>
      </c>
      <c r="D48">
        <v>1.7000000000000001E-2</v>
      </c>
      <c r="E48">
        <v>9.7999999999999997E-3</v>
      </c>
      <c r="G48">
        <v>0</v>
      </c>
      <c r="H48">
        <v>0</v>
      </c>
      <c r="I48">
        <v>1.6E-2</v>
      </c>
      <c r="J48">
        <v>0.01</v>
      </c>
      <c r="L48">
        <v>0</v>
      </c>
      <c r="M48">
        <v>0</v>
      </c>
      <c r="N48">
        <v>3.5999999999999997E-2</v>
      </c>
      <c r="O48">
        <v>8.6999999999999994E-3</v>
      </c>
      <c r="Q48">
        <v>0</v>
      </c>
      <c r="R48">
        <v>0</v>
      </c>
      <c r="S48">
        <v>2.1000000000000001E-2</v>
      </c>
      <c r="T48">
        <v>8.7999999999999995E-2</v>
      </c>
      <c r="V48">
        <v>0</v>
      </c>
      <c r="W48">
        <v>0</v>
      </c>
      <c r="X48">
        <v>4.2000000000000003E-2</v>
      </c>
      <c r="Y48">
        <v>0.02</v>
      </c>
    </row>
    <row r="49" spans="1:25" x14ac:dyDescent="0.35">
      <c r="A49" s="1" t="str">
        <f t="shared" si="12"/>
        <v>Cu</v>
      </c>
      <c r="B49">
        <v>8.0000000000000004E-4</v>
      </c>
      <c r="C49">
        <v>8.0000000000000004E-4</v>
      </c>
      <c r="D49">
        <v>1.6999999999999999E-3</v>
      </c>
      <c r="E49">
        <v>8.0000000000000004E-4</v>
      </c>
      <c r="G49">
        <v>2.0999999999999999E-3</v>
      </c>
      <c r="H49">
        <v>1.9E-3</v>
      </c>
      <c r="I49">
        <v>2E-3</v>
      </c>
      <c r="J49">
        <v>1.6999999999999999E-3</v>
      </c>
      <c r="L49">
        <v>1.9E-3</v>
      </c>
      <c r="M49">
        <v>3.0999999999999999E-3</v>
      </c>
      <c r="N49">
        <v>4.0000000000000001E-3</v>
      </c>
      <c r="O49">
        <v>3.7000000000000002E-3</v>
      </c>
      <c r="Q49">
        <v>2.5999999999999999E-3</v>
      </c>
      <c r="R49">
        <v>3.7000000000000002E-3</v>
      </c>
      <c r="S49">
        <v>3.3999999999999998E-3</v>
      </c>
      <c r="T49">
        <v>2E-3</v>
      </c>
      <c r="V49">
        <v>1.4E-3</v>
      </c>
      <c r="W49">
        <v>1E-3</v>
      </c>
      <c r="X49">
        <v>2.5000000000000001E-3</v>
      </c>
      <c r="Y49">
        <v>1.8E-3</v>
      </c>
    </row>
    <row r="50" spans="1:25" x14ac:dyDescent="0.35">
      <c r="A50" s="1" t="str">
        <f t="shared" si="12"/>
        <v>Cd</v>
      </c>
      <c r="B50">
        <v>2.9999999999999997E-4</v>
      </c>
      <c r="C50">
        <v>2.9999999999999997E-4</v>
      </c>
      <c r="D50">
        <v>6.9999999999999999E-4</v>
      </c>
      <c r="E50">
        <v>2.9999999999999997E-4</v>
      </c>
      <c r="G50">
        <v>0</v>
      </c>
      <c r="H50">
        <v>0</v>
      </c>
      <c r="I50">
        <v>5.0000000000000001E-4</v>
      </c>
      <c r="J50">
        <v>4.0000000000000002E-4</v>
      </c>
      <c r="L50">
        <v>1E-4</v>
      </c>
      <c r="M50">
        <v>1E-4</v>
      </c>
      <c r="N50">
        <v>1E-4</v>
      </c>
      <c r="O50">
        <v>1E-4</v>
      </c>
      <c r="Q50">
        <v>8.0000000000000004E-4</v>
      </c>
      <c r="R50">
        <v>8.9999999999999998E-4</v>
      </c>
      <c r="S50">
        <v>1E-3</v>
      </c>
      <c r="T50">
        <v>1.8E-3</v>
      </c>
      <c r="V50">
        <v>0</v>
      </c>
      <c r="W50">
        <v>1E-4</v>
      </c>
      <c r="X50">
        <v>1.1000000000000001E-3</v>
      </c>
      <c r="Y50">
        <v>4.0000000000000002E-4</v>
      </c>
    </row>
    <row r="51" spans="1:25" x14ac:dyDescent="0.35">
      <c r="A51" t="s">
        <v>14</v>
      </c>
      <c r="F51" t="s">
        <v>26</v>
      </c>
      <c r="K51" t="s">
        <v>38</v>
      </c>
      <c r="P51" t="s">
        <v>50</v>
      </c>
      <c r="U51" t="s">
        <v>62</v>
      </c>
    </row>
    <row r="52" spans="1:25" x14ac:dyDescent="0.35">
      <c r="A52" s="1" t="str">
        <f t="shared" ref="A52:A55" si="13">A47</f>
        <v>Mn</v>
      </c>
      <c r="B52">
        <v>2E-3</v>
      </c>
      <c r="C52">
        <v>2E-3</v>
      </c>
      <c r="D52">
        <v>1.0999999999999999E-2</v>
      </c>
      <c r="E52">
        <v>1.2999999999999999E-2</v>
      </c>
      <c r="G52">
        <v>2.8999999999999998E-3</v>
      </c>
      <c r="H52">
        <v>3.3E-3</v>
      </c>
      <c r="I52">
        <v>5.0000000000000001E-3</v>
      </c>
      <c r="J52">
        <v>7.1999999999999998E-3</v>
      </c>
      <c r="L52">
        <v>7.0000000000000001E-3</v>
      </c>
      <c r="M52">
        <v>8.9999999999999993E-3</v>
      </c>
      <c r="N52">
        <v>1.4999999999999999E-2</v>
      </c>
      <c r="O52">
        <v>1.4E-2</v>
      </c>
      <c r="Q52">
        <v>8.3000000000000001E-3</v>
      </c>
      <c r="R52">
        <v>8.8999999999999999E-3</v>
      </c>
      <c r="S52">
        <v>1.6E-2</v>
      </c>
      <c r="T52">
        <v>1.9E-2</v>
      </c>
      <c r="V52">
        <v>2.8999999999999998E-3</v>
      </c>
      <c r="W52">
        <v>3.0999999999999999E-3</v>
      </c>
      <c r="X52">
        <v>0.02</v>
      </c>
      <c r="Y52">
        <v>1.7999999999999999E-2</v>
      </c>
    </row>
    <row r="53" spans="1:25" x14ac:dyDescent="0.35">
      <c r="A53" s="1" t="str">
        <f t="shared" si="13"/>
        <v>Zn</v>
      </c>
      <c r="B53">
        <v>0</v>
      </c>
      <c r="C53">
        <v>0</v>
      </c>
      <c r="D53">
        <v>2.1000000000000001E-2</v>
      </c>
      <c r="E53">
        <v>6.3E-3</v>
      </c>
      <c r="G53">
        <v>5.0000000000000001E-3</v>
      </c>
      <c r="H53">
        <v>6.6E-3</v>
      </c>
      <c r="I53">
        <v>2.8000000000000001E-2</v>
      </c>
      <c r="J53">
        <v>7.1999999999999998E-3</v>
      </c>
      <c r="L53">
        <v>2.3999999999999998E-3</v>
      </c>
      <c r="M53">
        <v>1.8E-3</v>
      </c>
      <c r="N53">
        <v>7.8E-2</v>
      </c>
      <c r="O53">
        <v>3.7999999999999999E-2</v>
      </c>
      <c r="Q53">
        <v>0</v>
      </c>
      <c r="R53">
        <v>0</v>
      </c>
      <c r="S53">
        <v>1.2999999999999999E-2</v>
      </c>
      <c r="T53">
        <v>0.01</v>
      </c>
      <c r="V53">
        <v>0</v>
      </c>
      <c r="W53">
        <v>0</v>
      </c>
      <c r="X53">
        <v>8.5000000000000006E-2</v>
      </c>
      <c r="Y53">
        <v>2.1999999999999999E-2</v>
      </c>
    </row>
    <row r="54" spans="1:25" x14ac:dyDescent="0.35">
      <c r="A54" s="1" t="str">
        <f t="shared" si="13"/>
        <v>Cu</v>
      </c>
      <c r="B54">
        <v>1E-3</v>
      </c>
      <c r="C54">
        <v>1E-3</v>
      </c>
      <c r="D54">
        <v>1.2999999999999999E-3</v>
      </c>
      <c r="E54">
        <v>8.0000000000000004E-4</v>
      </c>
      <c r="G54">
        <v>1.4E-3</v>
      </c>
      <c r="H54">
        <v>2E-3</v>
      </c>
      <c r="I54">
        <v>1.2999999999999999E-3</v>
      </c>
      <c r="J54">
        <v>1.1999999999999999E-3</v>
      </c>
      <c r="L54">
        <v>2.5000000000000001E-3</v>
      </c>
      <c r="M54">
        <v>4.4999999999999997E-3</v>
      </c>
      <c r="N54">
        <v>5.4000000000000003E-3</v>
      </c>
      <c r="O54">
        <v>4.4000000000000003E-3</v>
      </c>
      <c r="Q54">
        <v>2.0999999999999999E-3</v>
      </c>
      <c r="R54">
        <v>2.2000000000000001E-3</v>
      </c>
      <c r="S54">
        <v>3.5000000000000001E-3</v>
      </c>
      <c r="T54">
        <v>6.4000000000000003E-3</v>
      </c>
      <c r="V54">
        <v>1.4E-3</v>
      </c>
      <c r="W54">
        <v>1.6000000000000001E-3</v>
      </c>
      <c r="X54">
        <v>2.5999999999999999E-3</v>
      </c>
      <c r="Y54">
        <v>1.6999999999999999E-3</v>
      </c>
    </row>
    <row r="55" spans="1:25" x14ac:dyDescent="0.35">
      <c r="A55" s="1" t="str">
        <f t="shared" si="13"/>
        <v>Cd</v>
      </c>
      <c r="B55">
        <v>0</v>
      </c>
      <c r="C55">
        <v>0</v>
      </c>
      <c r="D55">
        <v>5.0000000000000001E-4</v>
      </c>
      <c r="E55">
        <v>0</v>
      </c>
      <c r="G55">
        <v>1E-4</v>
      </c>
      <c r="H55">
        <v>1E-4</v>
      </c>
      <c r="I55">
        <v>8.9999999999999998E-4</v>
      </c>
      <c r="J55">
        <v>2.0000000000000001E-4</v>
      </c>
      <c r="L55">
        <v>5.0000000000000001E-4</v>
      </c>
      <c r="M55">
        <v>5.0000000000000001E-4</v>
      </c>
      <c r="N55">
        <v>8.0000000000000004E-4</v>
      </c>
      <c r="O55">
        <v>8.0000000000000004E-4</v>
      </c>
      <c r="Q55">
        <v>2.0000000000000001E-4</v>
      </c>
      <c r="R55">
        <v>2.0000000000000001E-4</v>
      </c>
      <c r="S55">
        <v>1E-4</v>
      </c>
      <c r="T55">
        <v>2.0000000000000001E-4</v>
      </c>
      <c r="V55">
        <v>0</v>
      </c>
      <c r="W55">
        <v>0</v>
      </c>
      <c r="X55">
        <v>2.0000000000000001E-4</v>
      </c>
      <c r="Y55">
        <v>1E-4</v>
      </c>
    </row>
    <row r="56" spans="1:25" x14ac:dyDescent="0.35">
      <c r="A56" t="s">
        <v>15</v>
      </c>
      <c r="F56" t="s">
        <v>27</v>
      </c>
      <c r="K56" t="s">
        <v>39</v>
      </c>
      <c r="P56" t="s">
        <v>51</v>
      </c>
    </row>
    <row r="57" spans="1:25" x14ac:dyDescent="0.35">
      <c r="A57" s="1" t="str">
        <f t="shared" ref="A57:A60" si="14">A52</f>
        <v>Mn</v>
      </c>
      <c r="B57">
        <v>5.0000000000000001E-3</v>
      </c>
      <c r="C57">
        <v>6.1000000000000004E-3</v>
      </c>
      <c r="D57">
        <v>0.02</v>
      </c>
      <c r="E57">
        <v>6.0000000000000001E-3</v>
      </c>
      <c r="G57">
        <v>3.3E-3</v>
      </c>
      <c r="H57">
        <v>8.8000000000000005E-3</v>
      </c>
      <c r="I57">
        <v>7.7999999999999996E-3</v>
      </c>
      <c r="J57">
        <v>1.0999999999999999E-2</v>
      </c>
      <c r="L57">
        <v>2E-3</v>
      </c>
      <c r="M57">
        <v>0.01</v>
      </c>
      <c r="N57">
        <v>0.06</v>
      </c>
      <c r="O57">
        <v>2.1999999999999999E-2</v>
      </c>
      <c r="Q57">
        <v>9.1000000000000004E-3</v>
      </c>
      <c r="R57">
        <v>0.01</v>
      </c>
      <c r="S57">
        <v>2.5000000000000001E-2</v>
      </c>
      <c r="T57">
        <v>1.9E-2</v>
      </c>
    </row>
    <row r="58" spans="1:25" x14ac:dyDescent="0.35">
      <c r="A58" s="1" t="str">
        <f t="shared" si="14"/>
        <v>Zn</v>
      </c>
      <c r="B58">
        <v>0</v>
      </c>
      <c r="C58">
        <v>0</v>
      </c>
      <c r="D58">
        <v>2.4E-2</v>
      </c>
      <c r="E58">
        <v>7.0000000000000001E-3</v>
      </c>
      <c r="G58">
        <v>0</v>
      </c>
      <c r="H58">
        <v>0</v>
      </c>
      <c r="I58">
        <v>2.9000000000000001E-2</v>
      </c>
      <c r="J58">
        <v>7.7000000000000002E-3</v>
      </c>
      <c r="L58">
        <v>0</v>
      </c>
      <c r="M58">
        <v>0</v>
      </c>
      <c r="N58">
        <v>8.2000000000000003E-2</v>
      </c>
      <c r="O58">
        <v>2.9000000000000001E-2</v>
      </c>
      <c r="Q58">
        <v>0</v>
      </c>
      <c r="R58">
        <v>0</v>
      </c>
      <c r="S58">
        <v>5.3999999999999999E-2</v>
      </c>
      <c r="T58">
        <v>4.2000000000000003E-2</v>
      </c>
    </row>
    <row r="59" spans="1:25" x14ac:dyDescent="0.35">
      <c r="A59" s="1" t="str">
        <f t="shared" si="14"/>
        <v>Cu</v>
      </c>
      <c r="B59">
        <v>6.9999999999999999E-4</v>
      </c>
      <c r="C59">
        <v>8.0000000000000004E-4</v>
      </c>
      <c r="D59">
        <v>1.4E-3</v>
      </c>
      <c r="E59">
        <v>8.0000000000000004E-4</v>
      </c>
      <c r="G59">
        <v>2.2000000000000001E-3</v>
      </c>
      <c r="H59">
        <v>1.6999999999999999E-3</v>
      </c>
      <c r="I59">
        <v>2.5000000000000001E-3</v>
      </c>
      <c r="J59">
        <v>2.5999999999999999E-3</v>
      </c>
      <c r="L59">
        <v>3.8E-3</v>
      </c>
      <c r="M59">
        <v>3.7000000000000002E-3</v>
      </c>
      <c r="N59">
        <v>3.8999999999999998E-3</v>
      </c>
      <c r="O59">
        <v>2.8999999999999998E-3</v>
      </c>
      <c r="Q59">
        <v>2.8999999999999998E-3</v>
      </c>
      <c r="R59">
        <v>3.0999999999999999E-3</v>
      </c>
      <c r="S59">
        <v>2.2000000000000001E-3</v>
      </c>
      <c r="T59">
        <v>2.7000000000000001E-3</v>
      </c>
    </row>
    <row r="60" spans="1:25" x14ac:dyDescent="0.35">
      <c r="A60" s="1" t="str">
        <f t="shared" si="14"/>
        <v>Cd</v>
      </c>
      <c r="B60">
        <v>0</v>
      </c>
      <c r="C60">
        <v>0</v>
      </c>
      <c r="D60">
        <v>5.9999999999999995E-4</v>
      </c>
      <c r="E60">
        <v>1E-4</v>
      </c>
      <c r="G60">
        <v>0</v>
      </c>
      <c r="H60">
        <v>0</v>
      </c>
      <c r="I60">
        <v>1E-4</v>
      </c>
      <c r="J60">
        <v>1E-4</v>
      </c>
      <c r="L60">
        <v>2.0000000000000001E-4</v>
      </c>
      <c r="M60">
        <v>4.0000000000000002E-4</v>
      </c>
      <c r="N60">
        <v>1.1000000000000001E-3</v>
      </c>
      <c r="O60">
        <v>4.0000000000000002E-4</v>
      </c>
      <c r="Q60">
        <v>1E-4</v>
      </c>
      <c r="R60">
        <v>2.0000000000000001E-4</v>
      </c>
      <c r="S60">
        <v>5.9999999999999995E-4</v>
      </c>
      <c r="T60">
        <v>4.0000000000000002E-4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7C9-A0B8-4BBB-8164-F45F46C777C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технодом</dc:creator>
  <cp:lastModifiedBy>vrLab g14etazh</cp:lastModifiedBy>
  <dcterms:created xsi:type="dcterms:W3CDTF">2015-06-05T18:17:20Z</dcterms:created>
  <dcterms:modified xsi:type="dcterms:W3CDTF">2026-02-15T12:07:05Z</dcterms:modified>
</cp:coreProperties>
</file>