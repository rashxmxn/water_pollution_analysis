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1415-01\Desktop\"/>
    </mc:Choice>
  </mc:AlternateContent>
  <xr:revisionPtr revIDLastSave="0" documentId="13_ncr:1_{0C38B897-3B68-4039-A92A-8B47E295A958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Sheet1" sheetId="1" r:id="rId1"/>
    <sheet name="Лист2" sheetId="3" r:id="rId2"/>
    <sheet name="Лист1" sheetId="2" r:id="rId3"/>
    <sheet name="Лист3" sheetId="4" r:id="rId4"/>
    <sheet name="Лист4" sheetId="5" r:id="rId5"/>
    <sheet name="Лист5" sheetId="6" r:id="rId6"/>
    <sheet name="Лист6" sheetId="7" r:id="rId7"/>
    <sheet name="Лист7" sheetId="8" r:id="rId8"/>
    <sheet name="Лист8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8" l="1"/>
  <c r="D59" i="8"/>
  <c r="E59" i="8"/>
  <c r="F59" i="8"/>
  <c r="C60" i="8"/>
  <c r="D60" i="8"/>
  <c r="E60" i="8"/>
  <c r="F60" i="8"/>
  <c r="B60" i="8"/>
  <c r="B59" i="8"/>
  <c r="B2" i="9"/>
  <c r="C2" i="9"/>
  <c r="D2" i="9"/>
  <c r="E2" i="9"/>
  <c r="B3" i="9"/>
  <c r="C3" i="9"/>
  <c r="D3" i="9"/>
  <c r="E3" i="9"/>
  <c r="B4" i="9"/>
  <c r="C4" i="9"/>
  <c r="D4" i="9"/>
  <c r="E4" i="9"/>
  <c r="B5" i="9"/>
  <c r="C5" i="9"/>
  <c r="D5" i="9"/>
  <c r="E5" i="9"/>
  <c r="B6" i="9"/>
  <c r="C6" i="9"/>
  <c r="D6" i="9"/>
  <c r="E6" i="9"/>
  <c r="B7" i="9"/>
  <c r="C7" i="9"/>
  <c r="D7" i="9"/>
  <c r="E7" i="9"/>
  <c r="B8" i="9"/>
  <c r="C8" i="9"/>
  <c r="D8" i="9"/>
  <c r="E8" i="9"/>
  <c r="B9" i="9"/>
  <c r="C9" i="9"/>
  <c r="D9" i="9"/>
  <c r="E9" i="9"/>
  <c r="B10" i="9"/>
  <c r="C10" i="9"/>
  <c r="D10" i="9"/>
  <c r="E10" i="9"/>
  <c r="B1" i="9"/>
  <c r="C1" i="9"/>
  <c r="D1" i="9"/>
  <c r="E1" i="9"/>
  <c r="A2" i="9"/>
  <c r="A3" i="9"/>
  <c r="A4" i="9"/>
  <c r="A5" i="9"/>
  <c r="A6" i="9"/>
  <c r="A7" i="9"/>
  <c r="A8" i="9"/>
  <c r="A9" i="9"/>
  <c r="A10" i="9"/>
  <c r="A11" i="9"/>
  <c r="A12" i="9"/>
  <c r="A13" i="9"/>
  <c r="C38" i="8"/>
  <c r="D38" i="8"/>
  <c r="E38" i="8"/>
  <c r="F38" i="8"/>
  <c r="C39" i="8"/>
  <c r="D39" i="8"/>
  <c r="E39" i="8"/>
  <c r="F39" i="8"/>
  <c r="C40" i="8"/>
  <c r="D40" i="8"/>
  <c r="E40" i="8"/>
  <c r="F40" i="8"/>
  <c r="C41" i="8"/>
  <c r="D41" i="8"/>
  <c r="E41" i="8"/>
  <c r="F41" i="8"/>
  <c r="C42" i="8"/>
  <c r="D42" i="8"/>
  <c r="E42" i="8"/>
  <c r="F42" i="8"/>
  <c r="C43" i="8"/>
  <c r="D43" i="8"/>
  <c r="E43" i="8"/>
  <c r="F43" i="8"/>
  <c r="C44" i="8"/>
  <c r="D44" i="8"/>
  <c r="E44" i="8"/>
  <c r="F44" i="8"/>
  <c r="C45" i="8"/>
  <c r="D45" i="8"/>
  <c r="E45" i="8"/>
  <c r="F45" i="8"/>
  <c r="C46" i="8"/>
  <c r="D46" i="8"/>
  <c r="E46" i="8"/>
  <c r="F46" i="8"/>
  <c r="C47" i="8"/>
  <c r="D47" i="8"/>
  <c r="E47" i="8"/>
  <c r="F47" i="8"/>
  <c r="C48" i="8"/>
  <c r="D48" i="8"/>
  <c r="E48" i="8"/>
  <c r="F48" i="8"/>
  <c r="C49" i="8"/>
  <c r="D49" i="8"/>
  <c r="E49" i="8"/>
  <c r="F49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C30" i="8"/>
  <c r="D30" i="8"/>
  <c r="E30" i="8"/>
  <c r="F30" i="8"/>
  <c r="C31" i="8"/>
  <c r="D31" i="8"/>
  <c r="E31" i="8"/>
  <c r="F31" i="8"/>
  <c r="C32" i="8"/>
  <c r="D32" i="8"/>
  <c r="E32" i="8"/>
  <c r="F32" i="8"/>
  <c r="C33" i="8"/>
  <c r="D33" i="8"/>
  <c r="E33" i="8"/>
  <c r="F33" i="8"/>
  <c r="C34" i="8"/>
  <c r="D34" i="8"/>
  <c r="E34" i="8"/>
  <c r="F34" i="8"/>
  <c r="C35" i="8"/>
  <c r="D35" i="8"/>
  <c r="E35" i="8"/>
  <c r="F35" i="8"/>
  <c r="C36" i="8"/>
  <c r="D36" i="8"/>
  <c r="E36" i="8"/>
  <c r="F36" i="8"/>
  <c r="C37" i="8"/>
  <c r="D37" i="8"/>
  <c r="E37" i="8"/>
  <c r="F37" i="8"/>
  <c r="C14" i="8"/>
  <c r="D14" i="8"/>
  <c r="E14" i="8"/>
  <c r="F14" i="8"/>
  <c r="C15" i="8"/>
  <c r="D15" i="8"/>
  <c r="E15" i="8"/>
  <c r="F15" i="8"/>
  <c r="C16" i="8"/>
  <c r="D16" i="8"/>
  <c r="E16" i="8"/>
  <c r="F16" i="8"/>
  <c r="C17" i="8"/>
  <c r="D17" i="8"/>
  <c r="E17" i="8"/>
  <c r="F17" i="8"/>
  <c r="C18" i="8"/>
  <c r="D18" i="8"/>
  <c r="E18" i="8"/>
  <c r="F18" i="8"/>
  <c r="C19" i="8"/>
  <c r="D19" i="8"/>
  <c r="E19" i="8"/>
  <c r="F19" i="8"/>
  <c r="C20" i="8"/>
  <c r="D20" i="8"/>
  <c r="E20" i="8"/>
  <c r="F20" i="8"/>
  <c r="C21" i="8"/>
  <c r="D21" i="8"/>
  <c r="E21" i="8"/>
  <c r="F21" i="8"/>
  <c r="C22" i="8"/>
  <c r="D22" i="8"/>
  <c r="E22" i="8"/>
  <c r="F22" i="8"/>
  <c r="C23" i="8"/>
  <c r="D23" i="8"/>
  <c r="E23" i="8"/>
  <c r="F23" i="8"/>
  <c r="C24" i="8"/>
  <c r="D24" i="8"/>
  <c r="E24" i="8"/>
  <c r="F24" i="8"/>
  <c r="C25" i="8"/>
  <c r="D25" i="8"/>
  <c r="E25" i="8"/>
  <c r="F25" i="8"/>
  <c r="C2" i="8"/>
  <c r="D2" i="8"/>
  <c r="E2" i="8"/>
  <c r="F2" i="8"/>
  <c r="C3" i="8"/>
  <c r="D3" i="8"/>
  <c r="E3" i="8"/>
  <c r="F3" i="8"/>
  <c r="C4" i="8"/>
  <c r="D4" i="8"/>
  <c r="E4" i="8"/>
  <c r="F4" i="8"/>
  <c r="C5" i="8"/>
  <c r="D5" i="8"/>
  <c r="E5" i="8"/>
  <c r="F5" i="8"/>
  <c r="C6" i="8"/>
  <c r="D6" i="8"/>
  <c r="E6" i="8"/>
  <c r="F6" i="8"/>
  <c r="C7" i="8"/>
  <c r="D7" i="8"/>
  <c r="E7" i="8"/>
  <c r="F7" i="8"/>
  <c r="C8" i="8"/>
  <c r="D8" i="8"/>
  <c r="E8" i="8"/>
  <c r="F8" i="8"/>
  <c r="C9" i="8"/>
  <c r="D9" i="8"/>
  <c r="E9" i="8"/>
  <c r="F9" i="8"/>
  <c r="C10" i="8"/>
  <c r="D10" i="8"/>
  <c r="E10" i="8"/>
  <c r="F10" i="8"/>
  <c r="C11" i="8"/>
  <c r="D11" i="8"/>
  <c r="E11" i="8"/>
  <c r="F11" i="8"/>
  <c r="C12" i="8"/>
  <c r="D12" i="8"/>
  <c r="E12" i="8"/>
  <c r="F12" i="8"/>
  <c r="C13" i="8"/>
  <c r="D13" i="8"/>
  <c r="E13" i="8"/>
  <c r="F13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B50" i="7"/>
  <c r="B51" i="7"/>
  <c r="B52" i="7"/>
  <c r="B53" i="7"/>
  <c r="B54" i="7"/>
  <c r="B55" i="7"/>
  <c r="B56" i="7"/>
  <c r="B57" i="7"/>
  <c r="B58" i="7"/>
  <c r="A58" i="7"/>
  <c r="A54" i="7"/>
  <c r="A55" i="7"/>
  <c r="A56" i="7"/>
  <c r="A57" i="7"/>
  <c r="B38" i="7"/>
  <c r="B39" i="7"/>
  <c r="B40" i="7"/>
  <c r="B41" i="7"/>
  <c r="B42" i="7"/>
  <c r="B43" i="7"/>
  <c r="B44" i="7"/>
  <c r="B45" i="7"/>
  <c r="B46" i="7"/>
  <c r="B47" i="7"/>
  <c r="B48" i="7"/>
  <c r="B49" i="7"/>
  <c r="A46" i="7"/>
  <c r="A47" i="7"/>
  <c r="A48" i="7"/>
  <c r="A49" i="7"/>
  <c r="A42" i="7"/>
  <c r="A43" i="7"/>
  <c r="A44" i="7"/>
  <c r="A45" i="7"/>
  <c r="B26" i="7"/>
  <c r="B27" i="7"/>
  <c r="B28" i="7"/>
  <c r="B29" i="7"/>
  <c r="B30" i="7"/>
  <c r="B31" i="7"/>
  <c r="B32" i="7"/>
  <c r="B33" i="7"/>
  <c r="B34" i="7"/>
  <c r="B35" i="7"/>
  <c r="B36" i="7"/>
  <c r="B37" i="7"/>
  <c r="A34" i="7"/>
  <c r="A35" i="7"/>
  <c r="A36" i="7"/>
  <c r="A37" i="7"/>
  <c r="A30" i="7"/>
  <c r="A31" i="7"/>
  <c r="A32" i="7"/>
  <c r="A33" i="7"/>
  <c r="B14" i="7"/>
  <c r="B15" i="7"/>
  <c r="B16" i="7"/>
  <c r="B17" i="7"/>
  <c r="B18" i="7"/>
  <c r="B19" i="7"/>
  <c r="B20" i="7"/>
  <c r="B21" i="7"/>
  <c r="B22" i="7"/>
  <c r="B23" i="7"/>
  <c r="B24" i="7"/>
  <c r="B25" i="7"/>
  <c r="A20" i="7"/>
  <c r="A21" i="7"/>
  <c r="A22" i="7"/>
  <c r="A23" i="7"/>
  <c r="A24" i="7"/>
  <c r="A25" i="7"/>
  <c r="A11" i="7"/>
  <c r="A12" i="7"/>
  <c r="A13" i="7"/>
  <c r="A8" i="7"/>
  <c r="A9" i="7"/>
  <c r="A10" i="7"/>
  <c r="A5" i="7"/>
  <c r="A6" i="7"/>
  <c r="A7" i="7"/>
  <c r="B2" i="7"/>
  <c r="B3" i="7"/>
  <c r="B4" i="7"/>
  <c r="B5" i="7"/>
  <c r="B6" i="7"/>
  <c r="B7" i="7"/>
  <c r="B8" i="7"/>
  <c r="B9" i="7"/>
  <c r="B10" i="7"/>
  <c r="B11" i="7"/>
  <c r="B12" i="7"/>
  <c r="B13" i="7"/>
  <c r="B1" i="6"/>
  <c r="C1" i="6"/>
  <c r="D1" i="6"/>
  <c r="E1" i="6"/>
  <c r="B1" i="2"/>
  <c r="C1" i="2"/>
  <c r="D1" i="2"/>
  <c r="E1" i="2"/>
  <c r="A2" i="2"/>
  <c r="A3" i="2"/>
  <c r="A4" i="2"/>
  <c r="A5" i="2"/>
  <c r="A6" i="2"/>
  <c r="A7" i="2"/>
  <c r="A8" i="2"/>
  <c r="A9" i="2"/>
  <c r="A10" i="2"/>
  <c r="A11" i="2"/>
  <c r="A12" i="2"/>
  <c r="A13" i="2"/>
  <c r="B1" i="5"/>
  <c r="C1" i="5"/>
  <c r="D1" i="5"/>
  <c r="E1" i="5"/>
  <c r="A2" i="5"/>
  <c r="A3" i="5"/>
  <c r="A4" i="5"/>
  <c r="A5" i="5"/>
  <c r="A6" i="5"/>
  <c r="A7" i="5"/>
  <c r="A8" i="5"/>
  <c r="A9" i="5"/>
  <c r="A10" i="5"/>
  <c r="A11" i="5"/>
  <c r="A12" i="5"/>
  <c r="A13" i="5"/>
  <c r="A2" i="4"/>
  <c r="A3" i="4"/>
  <c r="A4" i="4"/>
  <c r="A5" i="4"/>
  <c r="A6" i="4"/>
  <c r="A7" i="4"/>
  <c r="A8" i="4"/>
  <c r="A9" i="4"/>
  <c r="A10" i="4"/>
  <c r="A11" i="4"/>
  <c r="A12" i="4"/>
  <c r="A13" i="4"/>
  <c r="A2" i="3"/>
  <c r="A3" i="3"/>
  <c r="A4" i="3"/>
  <c r="A5" i="3"/>
  <c r="A6" i="3"/>
  <c r="A7" i="3"/>
  <c r="A8" i="3"/>
  <c r="A9" i="3"/>
  <c r="A10" i="3"/>
  <c r="A11" i="3"/>
  <c r="A12" i="3"/>
  <c r="A13" i="3"/>
</calcChain>
</file>

<file path=xl/sharedStrings.xml><?xml version="1.0" encoding="utf-8"?>
<sst xmlns="http://schemas.openxmlformats.org/spreadsheetml/2006/main" count="24" uniqueCount="17">
  <si>
    <t>IV</t>
  </si>
  <si>
    <t>II</t>
  </si>
  <si>
    <t>I</t>
  </si>
  <si>
    <t>III</t>
  </si>
  <si>
    <t>класс</t>
  </si>
  <si>
    <t>V</t>
  </si>
  <si>
    <t>число</t>
  </si>
  <si>
    <t>Yer 2</t>
  </si>
  <si>
    <t>Yer3</t>
  </si>
  <si>
    <t>Yer4(09)</t>
  </si>
  <si>
    <t>Yer5</t>
  </si>
  <si>
    <t>Yer2</t>
  </si>
  <si>
    <t>СWPI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</si>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</sst>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3-4EEC-8E41-AB42B0D4F37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3-4EEC-8E41-AB42B0D4F37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3-4EEC-8E41-AB42B0D4F37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Sheet1!$E$2:$E$6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3-4EEC-8E41-AB42B0D4F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772111"/>
        <c:axId val="1699789391"/>
      </c:barChart>
      <c:catAx>
        <c:axId val="169977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99789391"/>
        <c:crosses val="autoZero"/>
        <c:auto val="1"/>
        <c:lblAlgn val="ctr"/>
        <c:lblOffset val="100"/>
        <c:noMultiLvlLbl val="0"/>
      </c:catAx>
      <c:valAx>
        <c:axId val="1699789391"/>
        <c:scaling>
          <c:orientation val="minMax"/>
          <c:max val="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WQC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997721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Yer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Лист2!$B$2:$B$13</c:f>
              <c:numCache>
                <c:formatCode>General</c:formatCode>
                <c:ptCount val="12"/>
                <c:pt idx="0">
                  <c:v>1.4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</c:v>
                </c:pt>
                <c:pt idx="5">
                  <c:v>0</c:v>
                </c:pt>
                <c:pt idx="6">
                  <c:v>1.6</c:v>
                </c:pt>
                <c:pt idx="7">
                  <c:v>1.6</c:v>
                </c:pt>
                <c:pt idx="8">
                  <c:v>1.8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0-4D03-A504-B51D153BCB44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Лист2!$C$2:$C$13</c:f>
              <c:numCache>
                <c:formatCode>General</c:formatCode>
                <c:ptCount val="12"/>
                <c:pt idx="0">
                  <c:v>2.6</c:v>
                </c:pt>
                <c:pt idx="1">
                  <c:v>1</c:v>
                </c:pt>
                <c:pt idx="2">
                  <c:v>1</c:v>
                </c:pt>
                <c:pt idx="3">
                  <c:v>1.1000000000000001</c:v>
                </c:pt>
                <c:pt idx="4">
                  <c:v>3.6</c:v>
                </c:pt>
                <c:pt idx="5">
                  <c:v>0</c:v>
                </c:pt>
                <c:pt idx="6">
                  <c:v>1.5</c:v>
                </c:pt>
                <c:pt idx="7">
                  <c:v>1.5</c:v>
                </c:pt>
                <c:pt idx="8">
                  <c:v>2.2000000000000002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0-4D03-A504-B51D153BCB44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Лист2!$D$2:$D$13</c:f>
              <c:numCache>
                <c:formatCode>General</c:formatCode>
                <c:ptCount val="12"/>
                <c:pt idx="0">
                  <c:v>2.4</c:v>
                </c:pt>
                <c:pt idx="1">
                  <c:v>1.55</c:v>
                </c:pt>
                <c:pt idx="2">
                  <c:v>1.55</c:v>
                </c:pt>
                <c:pt idx="3">
                  <c:v>2.4300000000000002</c:v>
                </c:pt>
                <c:pt idx="4">
                  <c:v>1.5</c:v>
                </c:pt>
                <c:pt idx="5">
                  <c:v>1.46</c:v>
                </c:pt>
                <c:pt idx="6">
                  <c:v>2.95</c:v>
                </c:pt>
                <c:pt idx="7">
                  <c:v>1.93</c:v>
                </c:pt>
                <c:pt idx="8">
                  <c:v>3.2</c:v>
                </c:pt>
                <c:pt idx="9">
                  <c:v>1.7</c:v>
                </c:pt>
                <c:pt idx="10">
                  <c:v>1.5</c:v>
                </c:pt>
                <c:pt idx="11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50-4D03-A504-B51D153BCB44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Лист2!$A$2:$A$13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Лист2!$E$2:$E$13</c:f>
              <c:numCache>
                <c:formatCode>General</c:formatCode>
                <c:ptCount val="12"/>
                <c:pt idx="0">
                  <c:v>1.56</c:v>
                </c:pt>
                <c:pt idx="1">
                  <c:v>1.6</c:v>
                </c:pt>
                <c:pt idx="2">
                  <c:v>4.5</c:v>
                </c:pt>
                <c:pt idx="3">
                  <c:v>1.76</c:v>
                </c:pt>
                <c:pt idx="4">
                  <c:v>1.76</c:v>
                </c:pt>
                <c:pt idx="5">
                  <c:v>2.9</c:v>
                </c:pt>
                <c:pt idx="6">
                  <c:v>1.8</c:v>
                </c:pt>
                <c:pt idx="7">
                  <c:v>1.63</c:v>
                </c:pt>
                <c:pt idx="8">
                  <c:v>2</c:v>
                </c:pt>
                <c:pt idx="9">
                  <c:v>1</c:v>
                </c:pt>
                <c:pt idx="10">
                  <c:v>1.3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50-4D03-A504-B51D153B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757935"/>
        <c:axId val="1644758415"/>
      </c:barChart>
      <c:catAx>
        <c:axId val="164475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44758415"/>
        <c:crosses val="autoZero"/>
        <c:auto val="1"/>
        <c:lblAlgn val="ctr"/>
        <c:lblOffset val="100"/>
        <c:noMultiLvlLbl val="0"/>
      </c:catAx>
      <c:valAx>
        <c:axId val="16447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4475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Yer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Лист1!$B$2:$B$13</c:f>
              <c:numCache>
                <c:formatCode>General</c:formatCode>
                <c:ptCount val="12"/>
                <c:pt idx="0">
                  <c:v>3.6</c:v>
                </c:pt>
                <c:pt idx="1">
                  <c:v>2.4</c:v>
                </c:pt>
                <c:pt idx="2">
                  <c:v>2.4</c:v>
                </c:pt>
                <c:pt idx="3">
                  <c:v>5</c:v>
                </c:pt>
                <c:pt idx="4">
                  <c:v>1.3</c:v>
                </c:pt>
                <c:pt idx="5">
                  <c:v>1.9</c:v>
                </c:pt>
                <c:pt idx="6">
                  <c:v>1.1000000000000001</c:v>
                </c:pt>
                <c:pt idx="7">
                  <c:v>3.8</c:v>
                </c:pt>
                <c:pt idx="8">
                  <c:v>1.4</c:v>
                </c:pt>
                <c:pt idx="9">
                  <c:v>2.6</c:v>
                </c:pt>
                <c:pt idx="10">
                  <c:v>2.1</c:v>
                </c:pt>
                <c:pt idx="1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C-4B7F-A913-6E7FC23B79A1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Лист1!$C$2:$C$13</c:f>
              <c:numCache>
                <c:formatCode>General</c:formatCode>
                <c:ptCount val="12"/>
                <c:pt idx="0">
                  <c:v>2.9</c:v>
                </c:pt>
                <c:pt idx="1">
                  <c:v>2.8</c:v>
                </c:pt>
                <c:pt idx="2">
                  <c:v>2.9</c:v>
                </c:pt>
                <c:pt idx="3">
                  <c:v>3.4</c:v>
                </c:pt>
                <c:pt idx="4">
                  <c:v>1.3</c:v>
                </c:pt>
                <c:pt idx="5">
                  <c:v>2.6</c:v>
                </c:pt>
                <c:pt idx="6">
                  <c:v>1.8</c:v>
                </c:pt>
                <c:pt idx="7">
                  <c:v>1.9</c:v>
                </c:pt>
                <c:pt idx="8">
                  <c:v>1.5</c:v>
                </c:pt>
                <c:pt idx="9">
                  <c:v>3.7</c:v>
                </c:pt>
                <c:pt idx="10">
                  <c:v>2.2000000000000002</c:v>
                </c:pt>
                <c:pt idx="11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C-4B7F-A913-6E7FC23B79A1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Лист1!$D$2:$D$13</c:f>
              <c:numCache>
                <c:formatCode>General</c:formatCode>
                <c:ptCount val="12"/>
                <c:pt idx="0">
                  <c:v>5.3</c:v>
                </c:pt>
                <c:pt idx="1">
                  <c:v>4.0999999999999996</c:v>
                </c:pt>
                <c:pt idx="2">
                  <c:v>2.66</c:v>
                </c:pt>
                <c:pt idx="3">
                  <c:v>4.0999999999999996</c:v>
                </c:pt>
                <c:pt idx="4">
                  <c:v>2.6</c:v>
                </c:pt>
                <c:pt idx="5">
                  <c:v>3.35</c:v>
                </c:pt>
                <c:pt idx="6">
                  <c:v>1.9</c:v>
                </c:pt>
                <c:pt idx="7">
                  <c:v>2.8</c:v>
                </c:pt>
                <c:pt idx="8">
                  <c:v>1.85</c:v>
                </c:pt>
                <c:pt idx="9">
                  <c:v>2.6</c:v>
                </c:pt>
                <c:pt idx="10">
                  <c:v>2.13</c:v>
                </c:pt>
                <c:pt idx="11">
                  <c:v>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C-4B7F-A913-6E7FC23B79A1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Лист1!$E$2:$E$13</c:f>
              <c:numCache>
                <c:formatCode>General</c:formatCode>
                <c:ptCount val="12"/>
                <c:pt idx="0">
                  <c:v>2.86</c:v>
                </c:pt>
                <c:pt idx="1">
                  <c:v>1.8</c:v>
                </c:pt>
                <c:pt idx="2">
                  <c:v>2.75</c:v>
                </c:pt>
                <c:pt idx="3">
                  <c:v>3.53</c:v>
                </c:pt>
                <c:pt idx="4">
                  <c:v>2.15</c:v>
                </c:pt>
                <c:pt idx="5">
                  <c:v>3.15</c:v>
                </c:pt>
                <c:pt idx="6">
                  <c:v>1.6</c:v>
                </c:pt>
                <c:pt idx="7">
                  <c:v>3.8</c:v>
                </c:pt>
                <c:pt idx="8">
                  <c:v>1.8</c:v>
                </c:pt>
                <c:pt idx="9">
                  <c:v>1.76</c:v>
                </c:pt>
                <c:pt idx="10">
                  <c:v>4.1500000000000004</c:v>
                </c:pt>
                <c:pt idx="11">
                  <c:v>2.93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C-4B7F-A913-6E7FC23B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272591"/>
        <c:axId val="1825281711"/>
      </c:barChart>
      <c:catAx>
        <c:axId val="182527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81711"/>
        <c:crosses val="autoZero"/>
        <c:auto val="1"/>
        <c:lblAlgn val="ctr"/>
        <c:lblOffset val="100"/>
        <c:noMultiLvlLbl val="0"/>
      </c:catAx>
      <c:valAx>
        <c:axId val="18252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614446631671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7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Лист3!$B$2:$B$13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1.4</c:v>
                </c:pt>
                <c:pt idx="5">
                  <c:v>1.8</c:v>
                </c:pt>
                <c:pt idx="6">
                  <c:v>1.3</c:v>
                </c:pt>
                <c:pt idx="7">
                  <c:v>1.9</c:v>
                </c:pt>
                <c:pt idx="8">
                  <c:v>1.9</c:v>
                </c:pt>
                <c:pt idx="9">
                  <c:v>2</c:v>
                </c:pt>
                <c:pt idx="10">
                  <c:v>1.4</c:v>
                </c:pt>
                <c:pt idx="11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A-4186-9CC1-85F017DD7072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Лист3!$C$2:$C$13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1.1000000000000001</c:v>
                </c:pt>
                <c:pt idx="4">
                  <c:v>1.5</c:v>
                </c:pt>
                <c:pt idx="5">
                  <c:v>1.6</c:v>
                </c:pt>
                <c:pt idx="6">
                  <c:v>1.3</c:v>
                </c:pt>
                <c:pt idx="7">
                  <c:v>2.1</c:v>
                </c:pt>
                <c:pt idx="8">
                  <c:v>1.9</c:v>
                </c:pt>
                <c:pt idx="9">
                  <c:v>2.1</c:v>
                </c:pt>
                <c:pt idx="10">
                  <c:v>2</c:v>
                </c:pt>
                <c:pt idx="11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A-4186-9CC1-85F017DD7072}"/>
            </c:ext>
          </c:extLst>
        </c:ser>
        <c:ser>
          <c:idx val="2"/>
          <c:order val="2"/>
          <c:tx>
            <c:strRef>
              <c:f>Лист3!$D$1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Лист3!$A$2:$A$13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Лист3!$D$2:$D$13</c:f>
              <c:numCache>
                <c:formatCode>General</c:formatCode>
                <c:ptCount val="12"/>
                <c:pt idx="0">
                  <c:v>1.8</c:v>
                </c:pt>
                <c:pt idx="1">
                  <c:v>1.1499999999999999</c:v>
                </c:pt>
                <c:pt idx="2">
                  <c:v>1.26</c:v>
                </c:pt>
                <c:pt idx="3">
                  <c:v>3.13</c:v>
                </c:pt>
                <c:pt idx="4">
                  <c:v>2.4</c:v>
                </c:pt>
                <c:pt idx="5">
                  <c:v>2.16</c:v>
                </c:pt>
                <c:pt idx="6">
                  <c:v>1.43</c:v>
                </c:pt>
                <c:pt idx="7">
                  <c:v>1.5</c:v>
                </c:pt>
                <c:pt idx="8">
                  <c:v>1.6</c:v>
                </c:pt>
                <c:pt idx="9">
                  <c:v>1.8</c:v>
                </c:pt>
                <c:pt idx="10">
                  <c:v>2.0499999999999998</c:v>
                </c:pt>
                <c:pt idx="11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A-4186-9CC1-85F017DD7072}"/>
            </c:ext>
          </c:extLst>
        </c:ser>
        <c:ser>
          <c:idx val="3"/>
          <c:order val="3"/>
          <c:tx>
            <c:strRef>
              <c:f>Лист3!$E$1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Лист3!$A$2:$A$13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Лист3!$E$2:$E$13</c:f>
              <c:numCache>
                <c:formatCode>General</c:formatCode>
                <c:ptCount val="12"/>
                <c:pt idx="0">
                  <c:v>1.5</c:v>
                </c:pt>
                <c:pt idx="1">
                  <c:v>1.1000000000000001</c:v>
                </c:pt>
                <c:pt idx="2">
                  <c:v>0</c:v>
                </c:pt>
                <c:pt idx="3">
                  <c:v>3.36</c:v>
                </c:pt>
                <c:pt idx="4">
                  <c:v>2.2000000000000002</c:v>
                </c:pt>
                <c:pt idx="5">
                  <c:v>1.8</c:v>
                </c:pt>
                <c:pt idx="6">
                  <c:v>1.55</c:v>
                </c:pt>
                <c:pt idx="7">
                  <c:v>2.2000000000000002</c:v>
                </c:pt>
                <c:pt idx="8">
                  <c:v>2</c:v>
                </c:pt>
                <c:pt idx="9">
                  <c:v>1.5</c:v>
                </c:pt>
                <c:pt idx="10">
                  <c:v>1.2</c:v>
                </c:pt>
                <c:pt idx="11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A-4186-9CC1-85F017DD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284111"/>
        <c:axId val="1825285551"/>
      </c:barChart>
      <c:catAx>
        <c:axId val="18252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85551"/>
        <c:crosses val="autoZero"/>
        <c:auto val="1"/>
        <c:lblAlgn val="ctr"/>
        <c:lblOffset val="100"/>
        <c:noMultiLvlLbl val="0"/>
      </c:catAx>
      <c:valAx>
        <c:axId val="18252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Лист4!$B$2:$B$13</c:f>
              <c:numCache>
                <c:formatCode>General</c:formatCode>
                <c:ptCount val="12"/>
                <c:pt idx="0">
                  <c:v>1.5</c:v>
                </c:pt>
                <c:pt idx="1">
                  <c:v>1.8</c:v>
                </c:pt>
                <c:pt idx="2">
                  <c:v>2.1</c:v>
                </c:pt>
                <c:pt idx="3">
                  <c:v>1</c:v>
                </c:pt>
                <c:pt idx="4">
                  <c:v>0</c:v>
                </c:pt>
                <c:pt idx="5">
                  <c:v>1.9</c:v>
                </c:pt>
                <c:pt idx="6">
                  <c:v>2.2000000000000002</c:v>
                </c:pt>
                <c:pt idx="7">
                  <c:v>1.9</c:v>
                </c:pt>
                <c:pt idx="8">
                  <c:v>1.5</c:v>
                </c:pt>
                <c:pt idx="9">
                  <c:v>1.9</c:v>
                </c:pt>
                <c:pt idx="10">
                  <c:v>2.5</c:v>
                </c:pt>
                <c:pt idx="1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3-4452-835B-13EA2DDB8059}"/>
            </c:ext>
          </c:extLst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Лист4!$A$2:$A$13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Лист4!$C$2:$C$13</c:f>
              <c:numCache>
                <c:formatCode>General</c:formatCode>
                <c:ptCount val="12"/>
                <c:pt idx="0">
                  <c:v>1.9</c:v>
                </c:pt>
                <c:pt idx="1">
                  <c:v>2.15</c:v>
                </c:pt>
                <c:pt idx="2">
                  <c:v>2.5</c:v>
                </c:pt>
                <c:pt idx="3">
                  <c:v>1.1000000000000001</c:v>
                </c:pt>
                <c:pt idx="4">
                  <c:v>1.3</c:v>
                </c:pt>
                <c:pt idx="5">
                  <c:v>1.8</c:v>
                </c:pt>
                <c:pt idx="6">
                  <c:v>2</c:v>
                </c:pt>
                <c:pt idx="7">
                  <c:v>1.8</c:v>
                </c:pt>
                <c:pt idx="8">
                  <c:v>1.2</c:v>
                </c:pt>
                <c:pt idx="9">
                  <c:v>3.1</c:v>
                </c:pt>
                <c:pt idx="10">
                  <c:v>4.5</c:v>
                </c:pt>
                <c:pt idx="11">
                  <c:v>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3-4452-835B-13EA2DDB8059}"/>
            </c:ext>
          </c:extLst>
        </c:ser>
        <c:ser>
          <c:idx val="2"/>
          <c:order val="2"/>
          <c:tx>
            <c:strRef>
              <c:f>Лист4!$D$1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Лист4!$A$2:$A$13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Лист4!$D$2:$D$13</c:f>
              <c:numCache>
                <c:formatCode>General</c:formatCode>
                <c:ptCount val="12"/>
                <c:pt idx="0">
                  <c:v>1.86</c:v>
                </c:pt>
                <c:pt idx="1">
                  <c:v>2.4300000000000002</c:v>
                </c:pt>
                <c:pt idx="2">
                  <c:v>3.58</c:v>
                </c:pt>
                <c:pt idx="3">
                  <c:v>3.2</c:v>
                </c:pt>
                <c:pt idx="4">
                  <c:v>2.56</c:v>
                </c:pt>
                <c:pt idx="5">
                  <c:v>1.96</c:v>
                </c:pt>
                <c:pt idx="6">
                  <c:v>2.06</c:v>
                </c:pt>
                <c:pt idx="7">
                  <c:v>1.6</c:v>
                </c:pt>
                <c:pt idx="8">
                  <c:v>2.8</c:v>
                </c:pt>
                <c:pt idx="9">
                  <c:v>3.8</c:v>
                </c:pt>
                <c:pt idx="10">
                  <c:v>4.9000000000000004</c:v>
                </c:pt>
                <c:pt idx="1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3-4452-835B-13EA2DDB8059}"/>
            </c:ext>
          </c:extLst>
        </c:ser>
        <c:ser>
          <c:idx val="3"/>
          <c:order val="3"/>
          <c:tx>
            <c:strRef>
              <c:f>Лист4!$E$1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Лист4!$A$2:$A$13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  <c:pt idx="11">
                  <c:v>Decem</c:v>
                </c:pt>
              </c:strCache>
            </c:strRef>
          </c:cat>
          <c:val>
            <c:numRef>
              <c:f>Лист4!$E$2:$E$13</c:f>
              <c:numCache>
                <c:formatCode>General</c:formatCode>
                <c:ptCount val="12"/>
                <c:pt idx="0">
                  <c:v>1.85</c:v>
                </c:pt>
                <c:pt idx="1">
                  <c:v>1.7</c:v>
                </c:pt>
                <c:pt idx="2">
                  <c:v>1.8</c:v>
                </c:pt>
                <c:pt idx="3">
                  <c:v>4.6500000000000004</c:v>
                </c:pt>
                <c:pt idx="4">
                  <c:v>2.2000000000000002</c:v>
                </c:pt>
                <c:pt idx="5">
                  <c:v>2.0499999999999998</c:v>
                </c:pt>
                <c:pt idx="6">
                  <c:v>1.9</c:v>
                </c:pt>
                <c:pt idx="7">
                  <c:v>1.6</c:v>
                </c:pt>
                <c:pt idx="8">
                  <c:v>2</c:v>
                </c:pt>
                <c:pt idx="9">
                  <c:v>3.7</c:v>
                </c:pt>
                <c:pt idx="10">
                  <c:v>3.2</c:v>
                </c:pt>
                <c:pt idx="11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3-4452-835B-13EA2DDB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294671"/>
        <c:axId val="1825299951"/>
      </c:barChart>
      <c:catAx>
        <c:axId val="182529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99951"/>
        <c:crosses val="autoZero"/>
        <c:auto val="1"/>
        <c:lblAlgn val="ctr"/>
        <c:lblOffset val="100"/>
        <c:noMultiLvlLbl val="0"/>
      </c:catAx>
      <c:valAx>
        <c:axId val="18252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9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Лист5!$B$2:$B$6</c:f>
              <c:numCache>
                <c:formatCode>General</c:formatCode>
                <c:ptCount val="5"/>
                <c:pt idx="0">
                  <c:v>0.88</c:v>
                </c:pt>
                <c:pt idx="1">
                  <c:v>1.24</c:v>
                </c:pt>
                <c:pt idx="2">
                  <c:v>1.84</c:v>
                </c:pt>
                <c:pt idx="3">
                  <c:v>2.54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C-4C03-A0E9-CB7E5032FBA3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Лист5!$C$2:$C$6</c:f>
              <c:numCache>
                <c:formatCode>General</c:formatCode>
                <c:ptCount val="5"/>
                <c:pt idx="0">
                  <c:v>1.29</c:v>
                </c:pt>
                <c:pt idx="1">
                  <c:v>1.27</c:v>
                </c:pt>
                <c:pt idx="2">
                  <c:v>2.06</c:v>
                </c:pt>
                <c:pt idx="3">
                  <c:v>2.5099999999999998</c:v>
                </c:pt>
                <c:pt idx="4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C-4C03-A0E9-CB7E5032FBA3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Лист5!$D$2:$D$6</c:f>
              <c:numCache>
                <c:formatCode>General</c:formatCode>
                <c:ptCount val="5"/>
                <c:pt idx="0">
                  <c:v>2.0099999999999998</c:v>
                </c:pt>
                <c:pt idx="1">
                  <c:v>1.92</c:v>
                </c:pt>
                <c:pt idx="2">
                  <c:v>2.96</c:v>
                </c:pt>
                <c:pt idx="3">
                  <c:v>3.06</c:v>
                </c:pt>
                <c:pt idx="4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C-4C03-A0E9-CB7E5032FBA3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Лист5!$E$2:$E$6</c:f>
              <c:numCache>
                <c:formatCode>General</c:formatCode>
                <c:ptCount val="5"/>
                <c:pt idx="0">
                  <c:v>1.82</c:v>
                </c:pt>
                <c:pt idx="1">
                  <c:v>1.68</c:v>
                </c:pt>
                <c:pt idx="2">
                  <c:v>2.44</c:v>
                </c:pt>
                <c:pt idx="3">
                  <c:v>2.69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6C-4C03-A0E9-CB7E5032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7495295"/>
        <c:axId val="1597496255"/>
      </c:barChart>
      <c:catAx>
        <c:axId val="159749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597496255"/>
        <c:crosses val="autoZero"/>
        <c:auto val="1"/>
        <c:lblAlgn val="ctr"/>
        <c:lblOffset val="100"/>
        <c:noMultiLvlLbl val="0"/>
      </c:catAx>
      <c:valAx>
        <c:axId val="15974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КИЗВтм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4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Лист5!$B$2:$B$6</c:f>
              <c:numCache>
                <c:formatCode>General</c:formatCode>
                <c:ptCount val="5"/>
                <c:pt idx="0">
                  <c:v>0.88</c:v>
                </c:pt>
                <c:pt idx="1">
                  <c:v>1.24</c:v>
                </c:pt>
                <c:pt idx="2">
                  <c:v>1.84</c:v>
                </c:pt>
                <c:pt idx="3">
                  <c:v>2.54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7-42CC-A259-80C96D45C78B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Лист5!$C$2:$C$6</c:f>
              <c:numCache>
                <c:formatCode>General</c:formatCode>
                <c:ptCount val="5"/>
                <c:pt idx="0">
                  <c:v>1.29</c:v>
                </c:pt>
                <c:pt idx="1">
                  <c:v>1.27</c:v>
                </c:pt>
                <c:pt idx="2">
                  <c:v>2.06</c:v>
                </c:pt>
                <c:pt idx="3">
                  <c:v>2.5099999999999998</c:v>
                </c:pt>
                <c:pt idx="4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7-42CC-A259-80C96D45C78B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Лист5!$D$2:$D$6</c:f>
              <c:numCache>
                <c:formatCode>General</c:formatCode>
                <c:ptCount val="5"/>
                <c:pt idx="0">
                  <c:v>2.0099999999999998</c:v>
                </c:pt>
                <c:pt idx="1">
                  <c:v>1.92</c:v>
                </c:pt>
                <c:pt idx="2">
                  <c:v>2.96</c:v>
                </c:pt>
                <c:pt idx="3">
                  <c:v>3.06</c:v>
                </c:pt>
                <c:pt idx="4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7-42CC-A259-80C96D45C78B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Лист5!$E$2:$E$6</c:f>
              <c:numCache>
                <c:formatCode>General</c:formatCode>
                <c:ptCount val="5"/>
                <c:pt idx="0">
                  <c:v>1.82</c:v>
                </c:pt>
                <c:pt idx="1">
                  <c:v>1.68</c:v>
                </c:pt>
                <c:pt idx="2">
                  <c:v>2.44</c:v>
                </c:pt>
                <c:pt idx="3">
                  <c:v>2.69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A7-42CC-A259-80C96D45C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97508255"/>
        <c:axId val="1597509215"/>
      </c:barChart>
      <c:catAx>
        <c:axId val="159750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509215"/>
        <c:crosses val="autoZero"/>
        <c:auto val="1"/>
        <c:lblAlgn val="ctr"/>
        <c:lblOffset val="100"/>
        <c:noMultiLvlLbl val="0"/>
      </c:catAx>
      <c:valAx>
        <c:axId val="15975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750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Yer2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Лист5!$B$2:$B$6</c:f>
              <c:numCache>
                <c:formatCode>General</c:formatCode>
                <c:ptCount val="5"/>
                <c:pt idx="0">
                  <c:v>0.88</c:v>
                </c:pt>
                <c:pt idx="1">
                  <c:v>1.24</c:v>
                </c:pt>
                <c:pt idx="2">
                  <c:v>1.84</c:v>
                </c:pt>
                <c:pt idx="3">
                  <c:v>2.54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7-404E-A6F0-191E0A60E599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Лист5!$C$2:$C$6</c:f>
              <c:numCache>
                <c:formatCode>General</c:formatCode>
                <c:ptCount val="5"/>
                <c:pt idx="0">
                  <c:v>1.29</c:v>
                </c:pt>
                <c:pt idx="1">
                  <c:v>1.27</c:v>
                </c:pt>
                <c:pt idx="2">
                  <c:v>2.06</c:v>
                </c:pt>
                <c:pt idx="3">
                  <c:v>2.5099999999999998</c:v>
                </c:pt>
                <c:pt idx="4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7-404E-A6F0-191E0A60E599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Лист5!$D$2:$D$6</c:f>
              <c:numCache>
                <c:formatCode>General</c:formatCode>
                <c:ptCount val="5"/>
                <c:pt idx="0">
                  <c:v>2.0099999999999998</c:v>
                </c:pt>
                <c:pt idx="1">
                  <c:v>1.92</c:v>
                </c:pt>
                <c:pt idx="2">
                  <c:v>2.96</c:v>
                </c:pt>
                <c:pt idx="3">
                  <c:v>3.06</c:v>
                </c:pt>
                <c:pt idx="4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7-404E-A6F0-191E0A60E599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Лист5!$A$2:$A$6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Лист5!$E$2:$E$6</c:f>
              <c:numCache>
                <c:formatCode>General</c:formatCode>
                <c:ptCount val="5"/>
                <c:pt idx="0">
                  <c:v>1.82</c:v>
                </c:pt>
                <c:pt idx="1">
                  <c:v>1.68</c:v>
                </c:pt>
                <c:pt idx="2">
                  <c:v>2.44</c:v>
                </c:pt>
                <c:pt idx="3">
                  <c:v>2.69</c:v>
                </c:pt>
                <c:pt idx="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17-404E-A6F0-191E0A60E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2658911"/>
        <c:axId val="1602662271"/>
      </c:barChart>
      <c:catAx>
        <c:axId val="160265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02662271"/>
        <c:crosses val="autoZero"/>
        <c:auto val="1"/>
        <c:lblAlgn val="ctr"/>
        <c:lblOffset val="100"/>
        <c:noMultiLvlLbl val="0"/>
      </c:catAx>
      <c:valAx>
        <c:axId val="160266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60265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Лист8!$B$1</c:f>
              <c:strCache>
                <c:ptCount val="1"/>
                <c:pt idx="0">
                  <c:v>Yer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Лист8!$A$2:$A$12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</c:strCache>
            </c:strRef>
          </c:cat>
          <c:val>
            <c:numRef>
              <c:f>Лист8!$B$2:$B$12</c:f>
              <c:numCache>
                <c:formatCode>General</c:formatCode>
                <c:ptCount val="11"/>
                <c:pt idx="0">
                  <c:v>1.4</c:v>
                </c:pt>
                <c:pt idx="1">
                  <c:v>1.8</c:v>
                </c:pt>
                <c:pt idx="2">
                  <c:v>0</c:v>
                </c:pt>
                <c:pt idx="3">
                  <c:v>1.4</c:v>
                </c:pt>
                <c:pt idx="4">
                  <c:v>2.9</c:v>
                </c:pt>
                <c:pt idx="5">
                  <c:v>2.6</c:v>
                </c:pt>
                <c:pt idx="6">
                  <c:v>1.3</c:v>
                </c:pt>
                <c:pt idx="7">
                  <c:v>1.1000000000000001</c:v>
                </c:pt>
                <c:pt idx="8">
                  <c:v>1</c:v>
                </c:pt>
                <c:pt idx="9">
                  <c:v>1.4</c:v>
                </c:pt>
                <c:pt idx="1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C-4156-9E58-A0D6E0EF55EB}"/>
            </c:ext>
          </c:extLst>
        </c:ser>
        <c:ser>
          <c:idx val="1"/>
          <c:order val="1"/>
          <c:tx>
            <c:strRef>
              <c:f>Лист8!$C$1</c:f>
              <c:strCache>
                <c:ptCount val="1"/>
                <c:pt idx="0">
                  <c:v>Yer3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Лист8!$A$2:$A$12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</c:strCache>
            </c:strRef>
          </c:cat>
          <c:val>
            <c:numRef>
              <c:f>Лист8!$C$2:$C$12</c:f>
              <c:numCache>
                <c:formatCode>General</c:formatCode>
                <c:ptCount val="11"/>
                <c:pt idx="0">
                  <c:v>2.1</c:v>
                </c:pt>
                <c:pt idx="1">
                  <c:v>1.4</c:v>
                </c:pt>
                <c:pt idx="2">
                  <c:v>1.5</c:v>
                </c:pt>
                <c:pt idx="3">
                  <c:v>0</c:v>
                </c:pt>
                <c:pt idx="4">
                  <c:v>2.4</c:v>
                </c:pt>
                <c:pt idx="5">
                  <c:v>2.4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C-4156-9E58-A0D6E0EF55EB}"/>
            </c:ext>
          </c:extLst>
        </c:ser>
        <c:ser>
          <c:idx val="2"/>
          <c:order val="2"/>
          <c:tx>
            <c:strRef>
              <c:f>Лист8!$D$1</c:f>
              <c:strCache>
                <c:ptCount val="1"/>
                <c:pt idx="0">
                  <c:v>Yer4(09)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Лист8!$A$2:$A$12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</c:strCache>
            </c:strRef>
          </c:cat>
          <c:val>
            <c:numRef>
              <c:f>Лист8!$D$2:$D$12</c:f>
              <c:numCache>
                <c:formatCode>General</c:formatCode>
                <c:ptCount val="11"/>
                <c:pt idx="0">
                  <c:v>1.86</c:v>
                </c:pt>
                <c:pt idx="1">
                  <c:v>1.63</c:v>
                </c:pt>
                <c:pt idx="2">
                  <c:v>1.7</c:v>
                </c:pt>
                <c:pt idx="3">
                  <c:v>3.33</c:v>
                </c:pt>
                <c:pt idx="4">
                  <c:v>2.2599999999999998</c:v>
                </c:pt>
                <c:pt idx="5">
                  <c:v>3.2</c:v>
                </c:pt>
                <c:pt idx="6">
                  <c:v>2.5</c:v>
                </c:pt>
                <c:pt idx="7">
                  <c:v>2.1</c:v>
                </c:pt>
                <c:pt idx="8">
                  <c:v>2.1</c:v>
                </c:pt>
                <c:pt idx="9">
                  <c:v>2.6</c:v>
                </c:pt>
                <c:pt idx="10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C-4156-9E58-A0D6E0EF55EB}"/>
            </c:ext>
          </c:extLst>
        </c:ser>
        <c:ser>
          <c:idx val="3"/>
          <c:order val="3"/>
          <c:tx>
            <c:strRef>
              <c:f>Лист8!$E$1</c:f>
              <c:strCache>
                <c:ptCount val="1"/>
                <c:pt idx="0">
                  <c:v>Yer5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Лист8!$A$2:$A$12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Mart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</c:v>
                </c:pt>
                <c:pt idx="9">
                  <c:v>Octob</c:v>
                </c:pt>
                <c:pt idx="10">
                  <c:v>Novem</c:v>
                </c:pt>
              </c:strCache>
            </c:strRef>
          </c:cat>
          <c:val>
            <c:numRef>
              <c:f>Лист8!$E$2:$E$12</c:f>
              <c:numCache>
                <c:formatCode>General</c:formatCode>
                <c:ptCount val="11"/>
                <c:pt idx="0">
                  <c:v>1.36</c:v>
                </c:pt>
                <c:pt idx="1">
                  <c:v>1.1599999999999999</c:v>
                </c:pt>
                <c:pt idx="2">
                  <c:v>1.4</c:v>
                </c:pt>
                <c:pt idx="3">
                  <c:v>2.5</c:v>
                </c:pt>
                <c:pt idx="4">
                  <c:v>2.2999999999999998</c:v>
                </c:pt>
                <c:pt idx="5">
                  <c:v>2.8</c:v>
                </c:pt>
                <c:pt idx="6">
                  <c:v>2.4500000000000002</c:v>
                </c:pt>
                <c:pt idx="7">
                  <c:v>1.95</c:v>
                </c:pt>
                <c:pt idx="8">
                  <c:v>2.4500000000000002</c:v>
                </c:pt>
                <c:pt idx="9">
                  <c:v>2.8</c:v>
                </c:pt>
                <c:pt idx="10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DC-4156-9E58-A0D6E0EF5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5303791"/>
        <c:axId val="1825291791"/>
      </c:barChart>
      <c:catAx>
        <c:axId val="182530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291791"/>
        <c:crosses val="autoZero"/>
        <c:auto val="1"/>
        <c:lblAlgn val="ctr"/>
        <c:lblOffset val="100"/>
        <c:noMultiLvlLbl val="0"/>
      </c:catAx>
      <c:valAx>
        <c:axId val="182529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CWPI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8253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EA8BB1-C0EB-8027-02AC-CFEAEC684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40F788F-C4F3-4440-8106-AC32757E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891634-3425-81DB-590B-64727A057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7F709F-F1B2-3334-57D6-BC55DF175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61600F9-33E1-6D13-DC12-03B0F2D3B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F6BC7F-158F-4EA2-68EA-3E07CEE50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FBA099-DDE7-6F34-E76A-8D04991D5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32974CF-A468-3785-BDAB-D5B127121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152400</xdr:rowOff>
    </xdr:from>
    <xdr:to>
      <xdr:col>15</xdr:col>
      <xdr:colOff>228600</xdr:colOff>
      <xdr:row>18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F7F0D1-0867-1147-3672-A2A479509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90;&#1077;&#1093;&#1085;&#1086;&#1076;&#1086;&#1084;\Desktop\&#1083;&#1080;&#1090;&#1077;&#1088;&#1072;&#1090;&#1091;&#1088;&#1072;\&#1076;&#1083;&#1103;%20&#1088;&#1072;&#1089;&#1095;&#1077;&#1090;&#1072;%20&#1079;&#1072;%202024.xlsx" TargetMode="External"/><Relationship Id="rId1" Type="http://schemas.openxmlformats.org/officeDocument/2006/relationships/externalLinkPath" Target="/Users/&#1090;&#1077;&#1093;&#1085;&#1086;&#1076;&#1086;&#1084;/Desktop/&#1083;&#1080;&#1090;&#1077;&#1088;&#1072;&#1090;&#1091;&#1088;&#1072;/&#1076;&#1083;&#1103;%20&#1088;&#1072;&#1089;&#1095;&#1077;&#1090;&#1072;%20&#1079;&#1072;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Лист6"/>
      <sheetName val="Лист8"/>
      <sheetName val="Лист9"/>
      <sheetName val="Лист10"/>
      <sheetName val="Лист7"/>
      <sheetName val="Лист5"/>
      <sheetName val="Лист4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Mart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</v>
          </cell>
        </row>
        <row r="11">
          <cell r="A11" t="str">
            <v>Octob</v>
          </cell>
        </row>
        <row r="12">
          <cell r="A12" t="str">
            <v>Novem</v>
          </cell>
        </row>
        <row r="13">
          <cell r="A13" t="str">
            <v>Decem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R17" sqref="R17"/>
    </sheetView>
  </sheetViews>
  <sheetFormatPr defaultRowHeight="14.5" x14ac:dyDescent="0.35"/>
  <sheetData>
    <row r="1" spans="1:5" x14ac:dyDescent="0.35">
      <c r="B1" t="s">
        <v>11</v>
      </c>
      <c r="C1" t="s">
        <v>8</v>
      </c>
      <c r="D1" t="s">
        <v>9</v>
      </c>
      <c r="E1" t="s">
        <v>10</v>
      </c>
    </row>
    <row r="2" spans="1:5" x14ac:dyDescent="0.35">
      <c r="A2">
        <v>2021</v>
      </c>
      <c r="B2">
        <v>4</v>
      </c>
      <c r="C2">
        <v>4</v>
      </c>
      <c r="D2">
        <v>2</v>
      </c>
      <c r="E2">
        <v>2</v>
      </c>
    </row>
    <row r="3" spans="1:5" x14ac:dyDescent="0.35">
      <c r="A3">
        <v>2022</v>
      </c>
      <c r="B3">
        <v>2</v>
      </c>
      <c r="C3">
        <v>1</v>
      </c>
      <c r="D3">
        <v>2</v>
      </c>
      <c r="E3">
        <v>2</v>
      </c>
    </row>
    <row r="4" spans="1:5" x14ac:dyDescent="0.35">
      <c r="A4">
        <v>2023</v>
      </c>
      <c r="B4">
        <v>2</v>
      </c>
      <c r="C4">
        <v>1</v>
      </c>
      <c r="D4">
        <v>2</v>
      </c>
      <c r="E4">
        <v>4</v>
      </c>
    </row>
    <row r="5" spans="1:5" x14ac:dyDescent="0.35">
      <c r="A5">
        <v>2024</v>
      </c>
      <c r="B5">
        <v>1</v>
      </c>
      <c r="C5">
        <v>1</v>
      </c>
      <c r="D5">
        <v>2</v>
      </c>
      <c r="E5">
        <v>2</v>
      </c>
    </row>
    <row r="6" spans="1:5" x14ac:dyDescent="0.35">
      <c r="A6">
        <v>2025</v>
      </c>
      <c r="B6">
        <v>3</v>
      </c>
      <c r="C6">
        <v>2</v>
      </c>
      <c r="D6">
        <v>4</v>
      </c>
      <c r="E6">
        <v>3</v>
      </c>
    </row>
    <row r="7" spans="1:5" x14ac:dyDescent="0.35">
      <c r="A7" t="s">
        <v>6</v>
      </c>
      <c r="B7" t="s">
        <v>4</v>
      </c>
    </row>
    <row r="8" spans="1:5" x14ac:dyDescent="0.35">
      <c r="A8">
        <v>1</v>
      </c>
      <c r="B8" t="s">
        <v>2</v>
      </c>
    </row>
    <row r="9" spans="1:5" x14ac:dyDescent="0.35">
      <c r="A9">
        <v>2</v>
      </c>
      <c r="B9" t="s">
        <v>1</v>
      </c>
    </row>
    <row r="10" spans="1:5" x14ac:dyDescent="0.35">
      <c r="A10">
        <v>3</v>
      </c>
      <c r="B10" t="s">
        <v>3</v>
      </c>
    </row>
    <row r="11" spans="1:5" x14ac:dyDescent="0.35">
      <c r="A11">
        <v>4</v>
      </c>
      <c r="B11" t="s">
        <v>0</v>
      </c>
    </row>
    <row r="12" spans="1:5" x14ac:dyDescent="0.35">
      <c r="A12">
        <v>5</v>
      </c>
      <c r="B12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80DE-99FC-427A-B304-BFAE4457EE29}">
  <dimension ref="A1:E13"/>
  <sheetViews>
    <sheetView workbookViewId="0">
      <selection activeCell="R12" sqref="R12"/>
    </sheetView>
  </sheetViews>
  <sheetFormatPr defaultRowHeight="14.5" x14ac:dyDescent="0.35"/>
  <sheetData>
    <row r="1" spans="1:5" x14ac:dyDescent="0.35">
      <c r="A1">
        <v>2021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 t="str">
        <f>[1]Лист3!A2</f>
        <v>Jan</v>
      </c>
      <c r="B2">
        <v>1.4</v>
      </c>
      <c r="C2">
        <v>2.6</v>
      </c>
      <c r="D2">
        <v>2.4</v>
      </c>
      <c r="E2">
        <v>1.56</v>
      </c>
    </row>
    <row r="3" spans="1:5" x14ac:dyDescent="0.35">
      <c r="A3" t="str">
        <f>[1]Лист3!A3</f>
        <v>Feb</v>
      </c>
      <c r="B3">
        <v>0</v>
      </c>
      <c r="C3">
        <v>1</v>
      </c>
      <c r="D3">
        <v>1.55</v>
      </c>
      <c r="E3">
        <v>1.6</v>
      </c>
    </row>
    <row r="4" spans="1:5" x14ac:dyDescent="0.35">
      <c r="A4" t="str">
        <f>[1]Лист3!A4</f>
        <v>Mart</v>
      </c>
      <c r="B4">
        <v>0</v>
      </c>
      <c r="C4">
        <v>1</v>
      </c>
      <c r="D4">
        <v>1.55</v>
      </c>
      <c r="E4">
        <v>4.5</v>
      </c>
    </row>
    <row r="5" spans="1:5" x14ac:dyDescent="0.35">
      <c r="A5" t="str">
        <f>[1]Лист3!A5</f>
        <v>April</v>
      </c>
      <c r="B5">
        <v>0</v>
      </c>
      <c r="C5">
        <v>1.1000000000000001</v>
      </c>
      <c r="D5">
        <v>2.4300000000000002</v>
      </c>
      <c r="E5">
        <v>1.76</v>
      </c>
    </row>
    <row r="6" spans="1:5" x14ac:dyDescent="0.35">
      <c r="A6" t="str">
        <f>[1]Лист3!A6</f>
        <v>May</v>
      </c>
      <c r="B6">
        <v>3.1</v>
      </c>
      <c r="C6">
        <v>3.6</v>
      </c>
      <c r="D6">
        <v>1.5</v>
      </c>
      <c r="E6">
        <v>1.76</v>
      </c>
    </row>
    <row r="7" spans="1:5" x14ac:dyDescent="0.35">
      <c r="A7" t="str">
        <f>[1]Лист3!A7</f>
        <v>June</v>
      </c>
      <c r="B7">
        <v>0</v>
      </c>
      <c r="C7">
        <v>0</v>
      </c>
      <c r="D7">
        <v>1.46</v>
      </c>
      <c r="E7">
        <v>2.9</v>
      </c>
    </row>
    <row r="8" spans="1:5" x14ac:dyDescent="0.35">
      <c r="A8" t="str">
        <f>[1]Лист3!A8</f>
        <v>July</v>
      </c>
      <c r="B8">
        <v>1.6</v>
      </c>
      <c r="C8">
        <v>1.5</v>
      </c>
      <c r="D8">
        <v>2.95</v>
      </c>
      <c r="E8">
        <v>1.8</v>
      </c>
    </row>
    <row r="9" spans="1:5" x14ac:dyDescent="0.35">
      <c r="A9" t="str">
        <f>[1]Лист3!A9</f>
        <v>August</v>
      </c>
      <c r="B9">
        <v>1.6</v>
      </c>
      <c r="C9">
        <v>1.5</v>
      </c>
      <c r="D9">
        <v>1.93</v>
      </c>
      <c r="E9">
        <v>1.63</v>
      </c>
    </row>
    <row r="10" spans="1:5" x14ac:dyDescent="0.35">
      <c r="A10" t="str">
        <f>[1]Лист3!A10</f>
        <v>Sept</v>
      </c>
      <c r="B10">
        <v>1.8</v>
      </c>
      <c r="C10">
        <v>2.2000000000000002</v>
      </c>
      <c r="D10">
        <v>3.2</v>
      </c>
      <c r="E10">
        <v>2</v>
      </c>
    </row>
    <row r="11" spans="1:5" x14ac:dyDescent="0.35">
      <c r="A11" t="str">
        <f>[1]Лист3!A11</f>
        <v>Octob</v>
      </c>
      <c r="B11">
        <v>0</v>
      </c>
      <c r="C11">
        <v>0</v>
      </c>
      <c r="D11">
        <v>1.7</v>
      </c>
      <c r="E11">
        <v>1</v>
      </c>
    </row>
    <row r="12" spans="1:5" x14ac:dyDescent="0.35">
      <c r="A12" t="str">
        <f>[1]Лист3!A12</f>
        <v>Novem</v>
      </c>
      <c r="B12">
        <v>1</v>
      </c>
      <c r="C12">
        <v>1</v>
      </c>
      <c r="D12">
        <v>1.5</v>
      </c>
      <c r="E12">
        <v>1.3</v>
      </c>
    </row>
    <row r="13" spans="1:5" x14ac:dyDescent="0.35">
      <c r="A13" t="str">
        <f>[1]Лист3!A13</f>
        <v>Decem</v>
      </c>
      <c r="B13">
        <v>0</v>
      </c>
      <c r="C13">
        <v>0</v>
      </c>
      <c r="D13">
        <v>1.93</v>
      </c>
      <c r="E1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CEBB-46DD-442E-A69A-0F4546877946}">
  <dimension ref="A1:E13"/>
  <sheetViews>
    <sheetView workbookViewId="0">
      <selection activeCell="P16" sqref="P16"/>
    </sheetView>
  </sheetViews>
  <sheetFormatPr defaultRowHeight="14.5" x14ac:dyDescent="0.35"/>
  <sheetData>
    <row r="1" spans="1:5" x14ac:dyDescent="0.35">
      <c r="A1">
        <v>2024</v>
      </c>
      <c r="B1" t="str">
        <f>Лист2!B1</f>
        <v>Yer 2</v>
      </c>
      <c r="C1" t="str">
        <f>Лист2!C1</f>
        <v>Yer3</v>
      </c>
      <c r="D1" t="str">
        <f>Лист2!D1</f>
        <v>Yer4(09)</v>
      </c>
      <c r="E1" t="str">
        <f>Лист2!E1</f>
        <v>Yer5</v>
      </c>
    </row>
    <row r="2" spans="1:5" x14ac:dyDescent="0.35">
      <c r="A2" t="str">
        <f>Лист2!A2</f>
        <v>Jan</v>
      </c>
      <c r="B2">
        <v>3.6</v>
      </c>
      <c r="C2">
        <v>2.9</v>
      </c>
      <c r="D2">
        <v>5.3</v>
      </c>
      <c r="E2">
        <v>2.86</v>
      </c>
    </row>
    <row r="3" spans="1:5" x14ac:dyDescent="0.35">
      <c r="A3" t="str">
        <f>Лист2!A3</f>
        <v>Feb</v>
      </c>
      <c r="B3">
        <v>2.4</v>
      </c>
      <c r="C3">
        <v>2.8</v>
      </c>
      <c r="D3">
        <v>4.0999999999999996</v>
      </c>
      <c r="E3">
        <v>1.8</v>
      </c>
    </row>
    <row r="4" spans="1:5" x14ac:dyDescent="0.35">
      <c r="A4" t="str">
        <f>Лист2!A4</f>
        <v>Mart</v>
      </c>
      <c r="B4">
        <v>2.4</v>
      </c>
      <c r="C4">
        <v>2.9</v>
      </c>
      <c r="D4">
        <v>2.66</v>
      </c>
      <c r="E4">
        <v>2.75</v>
      </c>
    </row>
    <row r="5" spans="1:5" x14ac:dyDescent="0.35">
      <c r="A5" t="str">
        <f>Лист2!A5</f>
        <v>April</v>
      </c>
      <c r="B5">
        <v>5</v>
      </c>
      <c r="C5">
        <v>3.4</v>
      </c>
      <c r="D5">
        <v>4.0999999999999996</v>
      </c>
      <c r="E5">
        <v>3.53</v>
      </c>
    </row>
    <row r="6" spans="1:5" x14ac:dyDescent="0.35">
      <c r="A6" t="str">
        <f>Лист2!A6</f>
        <v>May</v>
      </c>
      <c r="B6">
        <v>1.3</v>
      </c>
      <c r="C6">
        <v>1.3</v>
      </c>
      <c r="D6">
        <v>2.6</v>
      </c>
      <c r="E6">
        <v>2.15</v>
      </c>
    </row>
    <row r="7" spans="1:5" x14ac:dyDescent="0.35">
      <c r="A7" t="str">
        <f>Лист2!A7</f>
        <v>June</v>
      </c>
      <c r="B7">
        <v>1.9</v>
      </c>
      <c r="C7">
        <v>2.6</v>
      </c>
      <c r="D7">
        <v>3.35</v>
      </c>
      <c r="E7">
        <v>3.15</v>
      </c>
    </row>
    <row r="8" spans="1:5" x14ac:dyDescent="0.35">
      <c r="A8" t="str">
        <f>Лист2!A8</f>
        <v>July</v>
      </c>
      <c r="B8">
        <v>1.1000000000000001</v>
      </c>
      <c r="C8">
        <v>1.8</v>
      </c>
      <c r="D8">
        <v>1.9</v>
      </c>
      <c r="E8">
        <v>1.6</v>
      </c>
    </row>
    <row r="9" spans="1:5" x14ac:dyDescent="0.35">
      <c r="A9" t="str">
        <f>Лист2!A9</f>
        <v>August</v>
      </c>
      <c r="B9">
        <v>3.8</v>
      </c>
      <c r="C9">
        <v>1.9</v>
      </c>
      <c r="D9">
        <v>2.8</v>
      </c>
      <c r="E9">
        <v>3.8</v>
      </c>
    </row>
    <row r="10" spans="1:5" x14ac:dyDescent="0.35">
      <c r="A10" t="str">
        <f>Лист2!A10</f>
        <v>Sept</v>
      </c>
      <c r="B10">
        <v>1.4</v>
      </c>
      <c r="C10">
        <v>1.5</v>
      </c>
      <c r="D10">
        <v>1.85</v>
      </c>
      <c r="E10">
        <v>1.8</v>
      </c>
    </row>
    <row r="11" spans="1:5" x14ac:dyDescent="0.35">
      <c r="A11" t="str">
        <f>Лист2!A11</f>
        <v>Octob</v>
      </c>
      <c r="B11">
        <v>2.6</v>
      </c>
      <c r="C11">
        <v>3.7</v>
      </c>
      <c r="D11">
        <v>2.6</v>
      </c>
      <c r="E11">
        <v>1.76</v>
      </c>
    </row>
    <row r="12" spans="1:5" x14ac:dyDescent="0.35">
      <c r="A12" t="str">
        <f>Лист2!A12</f>
        <v>Novem</v>
      </c>
      <c r="B12">
        <v>2.1</v>
      </c>
      <c r="C12">
        <v>2.2000000000000002</v>
      </c>
      <c r="D12">
        <v>2.13</v>
      </c>
      <c r="E12">
        <v>4.1500000000000004</v>
      </c>
    </row>
    <row r="13" spans="1:5" x14ac:dyDescent="0.35">
      <c r="A13" t="str">
        <f>Лист2!A13</f>
        <v>Decem</v>
      </c>
      <c r="B13">
        <v>2.9</v>
      </c>
      <c r="C13">
        <v>3.1</v>
      </c>
      <c r="D13">
        <v>3.36</v>
      </c>
      <c r="E13">
        <v>2.93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1F1C-665D-4265-84BA-9710F8BBEDF7}">
  <dimension ref="A1:E13"/>
  <sheetViews>
    <sheetView workbookViewId="0">
      <selection activeCell="Q14" sqref="Q14"/>
    </sheetView>
  </sheetViews>
  <sheetFormatPr defaultRowHeight="14.5" x14ac:dyDescent="0.35"/>
  <sheetData>
    <row r="1" spans="1:5" x14ac:dyDescent="0.35">
      <c r="A1">
        <v>2022</v>
      </c>
      <c r="B1" t="s">
        <v>11</v>
      </c>
      <c r="C1" t="s">
        <v>8</v>
      </c>
      <c r="D1" t="s">
        <v>9</v>
      </c>
      <c r="E1" t="s">
        <v>10</v>
      </c>
    </row>
    <row r="2" spans="1:5" x14ac:dyDescent="0.35">
      <c r="A2" t="str">
        <f>Лист2!A2</f>
        <v>Jan</v>
      </c>
      <c r="B2">
        <v>0</v>
      </c>
      <c r="C2">
        <v>0</v>
      </c>
      <c r="D2">
        <v>1.8</v>
      </c>
      <c r="E2">
        <v>1.5</v>
      </c>
    </row>
    <row r="3" spans="1:5" x14ac:dyDescent="0.35">
      <c r="A3" t="str">
        <f>Лист2!A3</f>
        <v>Feb</v>
      </c>
      <c r="B3">
        <v>0</v>
      </c>
      <c r="C3">
        <v>0</v>
      </c>
      <c r="D3">
        <v>1.1499999999999999</v>
      </c>
      <c r="E3">
        <v>1.1000000000000001</v>
      </c>
    </row>
    <row r="4" spans="1:5" x14ac:dyDescent="0.35">
      <c r="A4" t="str">
        <f>Лист2!A4</f>
        <v>Mart</v>
      </c>
      <c r="B4">
        <v>0</v>
      </c>
      <c r="C4">
        <v>0</v>
      </c>
      <c r="D4">
        <v>1.26</v>
      </c>
      <c r="E4">
        <v>0</v>
      </c>
    </row>
    <row r="5" spans="1:5" x14ac:dyDescent="0.35">
      <c r="A5" t="str">
        <f>Лист2!A5</f>
        <v>April</v>
      </c>
      <c r="B5">
        <v>1</v>
      </c>
      <c r="C5">
        <v>1.1000000000000001</v>
      </c>
      <c r="D5">
        <v>3.13</v>
      </c>
      <c r="E5">
        <v>3.36</v>
      </c>
    </row>
    <row r="6" spans="1:5" x14ac:dyDescent="0.35">
      <c r="A6" t="str">
        <f>Лист2!A6</f>
        <v>May</v>
      </c>
      <c r="B6">
        <v>1.4</v>
      </c>
      <c r="C6">
        <v>1.5</v>
      </c>
      <c r="D6">
        <v>2.4</v>
      </c>
      <c r="E6">
        <v>2.2000000000000002</v>
      </c>
    </row>
    <row r="7" spans="1:5" x14ac:dyDescent="0.35">
      <c r="A7" t="str">
        <f>Лист2!A7</f>
        <v>June</v>
      </c>
      <c r="B7">
        <v>1.8</v>
      </c>
      <c r="C7">
        <v>1.6</v>
      </c>
      <c r="D7">
        <v>2.16</v>
      </c>
      <c r="E7">
        <v>1.8</v>
      </c>
    </row>
    <row r="8" spans="1:5" x14ac:dyDescent="0.35">
      <c r="A8" t="str">
        <f>Лист2!A8</f>
        <v>July</v>
      </c>
      <c r="B8">
        <v>1.3</v>
      </c>
      <c r="C8">
        <v>1.3</v>
      </c>
      <c r="D8">
        <v>1.43</v>
      </c>
      <c r="E8">
        <v>1.55</v>
      </c>
    </row>
    <row r="9" spans="1:5" x14ac:dyDescent="0.35">
      <c r="A9" t="str">
        <f>Лист2!A9</f>
        <v>August</v>
      </c>
      <c r="B9">
        <v>1.9</v>
      </c>
      <c r="C9">
        <v>2.1</v>
      </c>
      <c r="D9">
        <v>1.5</v>
      </c>
      <c r="E9">
        <v>2.2000000000000002</v>
      </c>
    </row>
    <row r="10" spans="1:5" x14ac:dyDescent="0.35">
      <c r="A10" t="str">
        <f>Лист2!A10</f>
        <v>Sept</v>
      </c>
      <c r="B10">
        <v>1.9</v>
      </c>
      <c r="C10">
        <v>1.9</v>
      </c>
      <c r="D10">
        <v>1.6</v>
      </c>
      <c r="E10">
        <v>2</v>
      </c>
    </row>
    <row r="11" spans="1:5" x14ac:dyDescent="0.35">
      <c r="A11" t="str">
        <f>Лист2!A11</f>
        <v>Octob</v>
      </c>
      <c r="B11">
        <v>2</v>
      </c>
      <c r="C11">
        <v>2.1</v>
      </c>
      <c r="D11">
        <v>1.8</v>
      </c>
      <c r="E11">
        <v>1.5</v>
      </c>
    </row>
    <row r="12" spans="1:5" x14ac:dyDescent="0.35">
      <c r="A12" t="str">
        <f>Лист2!A12</f>
        <v>Novem</v>
      </c>
      <c r="B12">
        <v>1.4</v>
      </c>
      <c r="C12">
        <v>2</v>
      </c>
      <c r="D12">
        <v>2.0499999999999998</v>
      </c>
      <c r="E12">
        <v>1.2</v>
      </c>
    </row>
    <row r="13" spans="1:5" x14ac:dyDescent="0.35">
      <c r="A13" t="str">
        <f>Лист2!A13</f>
        <v>Decem</v>
      </c>
      <c r="B13">
        <v>2.2000000000000002</v>
      </c>
      <c r="C13">
        <v>1.7</v>
      </c>
      <c r="D13">
        <v>2.7</v>
      </c>
      <c r="E13">
        <v>1.85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FE42-3333-46F8-AE89-DD97D9B05763}">
  <dimension ref="A1:E13"/>
  <sheetViews>
    <sheetView workbookViewId="0">
      <selection activeCell="Q18" sqref="Q18"/>
    </sheetView>
  </sheetViews>
  <sheetFormatPr defaultRowHeight="14.5" x14ac:dyDescent="0.35"/>
  <sheetData>
    <row r="1" spans="1:5" x14ac:dyDescent="0.35">
      <c r="A1">
        <v>2023</v>
      </c>
      <c r="B1" t="str">
        <f>Лист3!B1</f>
        <v>Yer2</v>
      </c>
      <c r="C1" t="str">
        <f>Лист3!C1</f>
        <v>Yer3</v>
      </c>
      <c r="D1" t="str">
        <f>Лист3!D1</f>
        <v>Yer4(09)</v>
      </c>
      <c r="E1" t="str">
        <f>Лист3!E1</f>
        <v>Yer5</v>
      </c>
    </row>
    <row r="2" spans="1:5" x14ac:dyDescent="0.35">
      <c r="A2" t="str">
        <f>Лист3!A2</f>
        <v>Jan</v>
      </c>
      <c r="B2">
        <v>1.5</v>
      </c>
      <c r="C2">
        <v>1.9</v>
      </c>
      <c r="D2">
        <v>1.86</v>
      </c>
      <c r="E2">
        <v>1.85</v>
      </c>
    </row>
    <row r="3" spans="1:5" x14ac:dyDescent="0.35">
      <c r="A3" t="str">
        <f>Лист3!A3</f>
        <v>Feb</v>
      </c>
      <c r="B3">
        <v>1.8</v>
      </c>
      <c r="C3">
        <v>2.15</v>
      </c>
      <c r="D3">
        <v>2.4300000000000002</v>
      </c>
      <c r="E3">
        <v>1.7</v>
      </c>
    </row>
    <row r="4" spans="1:5" x14ac:dyDescent="0.35">
      <c r="A4" t="str">
        <f>Лист3!A4</f>
        <v>Mart</v>
      </c>
      <c r="B4">
        <v>2.1</v>
      </c>
      <c r="C4">
        <v>2.5</v>
      </c>
      <c r="D4">
        <v>3.58</v>
      </c>
      <c r="E4">
        <v>1.8</v>
      </c>
    </row>
    <row r="5" spans="1:5" x14ac:dyDescent="0.35">
      <c r="A5" t="str">
        <f>Лист3!A5</f>
        <v>April</v>
      </c>
      <c r="B5">
        <v>1</v>
      </c>
      <c r="C5">
        <v>1.1000000000000001</v>
      </c>
      <c r="D5">
        <v>3.2</v>
      </c>
      <c r="E5">
        <v>4.6500000000000004</v>
      </c>
    </row>
    <row r="6" spans="1:5" x14ac:dyDescent="0.35">
      <c r="A6" t="str">
        <f>Лист3!A6</f>
        <v>May</v>
      </c>
      <c r="B6">
        <v>0</v>
      </c>
      <c r="C6">
        <v>1.3</v>
      </c>
      <c r="D6">
        <v>2.56</v>
      </c>
      <c r="E6">
        <v>2.2000000000000002</v>
      </c>
    </row>
    <row r="7" spans="1:5" x14ac:dyDescent="0.35">
      <c r="A7" t="str">
        <f>Лист3!A7</f>
        <v>June</v>
      </c>
      <c r="B7">
        <v>1.9</v>
      </c>
      <c r="C7">
        <v>1.8</v>
      </c>
      <c r="D7">
        <v>1.96</v>
      </c>
      <c r="E7">
        <v>2.0499999999999998</v>
      </c>
    </row>
    <row r="8" spans="1:5" x14ac:dyDescent="0.35">
      <c r="A8" t="str">
        <f>Лист3!A8</f>
        <v>July</v>
      </c>
      <c r="B8">
        <v>2.2000000000000002</v>
      </c>
      <c r="C8">
        <v>2</v>
      </c>
      <c r="D8">
        <v>2.06</v>
      </c>
      <c r="E8">
        <v>1.9</v>
      </c>
    </row>
    <row r="9" spans="1:5" x14ac:dyDescent="0.35">
      <c r="A9" t="str">
        <f>Лист3!A9</f>
        <v>August</v>
      </c>
      <c r="B9">
        <v>1.9</v>
      </c>
      <c r="C9">
        <v>1.8</v>
      </c>
      <c r="D9">
        <v>1.6</v>
      </c>
      <c r="E9">
        <v>1.6</v>
      </c>
    </row>
    <row r="10" spans="1:5" x14ac:dyDescent="0.35">
      <c r="A10" t="str">
        <f>Лист3!A10</f>
        <v>Sept</v>
      </c>
      <c r="B10">
        <v>1.5</v>
      </c>
      <c r="C10">
        <v>1.2</v>
      </c>
      <c r="D10">
        <v>2.8</v>
      </c>
      <c r="E10">
        <v>2</v>
      </c>
    </row>
    <row r="11" spans="1:5" x14ac:dyDescent="0.35">
      <c r="A11" t="str">
        <f>Лист3!A11</f>
        <v>Octob</v>
      </c>
      <c r="B11">
        <v>1.9</v>
      </c>
      <c r="C11">
        <v>3.1</v>
      </c>
      <c r="D11">
        <v>3.8</v>
      </c>
      <c r="E11">
        <v>3.7</v>
      </c>
    </row>
    <row r="12" spans="1:5" x14ac:dyDescent="0.35">
      <c r="A12" t="str">
        <f>Лист3!A12</f>
        <v>Novem</v>
      </c>
      <c r="B12">
        <v>2.5</v>
      </c>
      <c r="C12">
        <v>4.5</v>
      </c>
      <c r="D12">
        <v>4.9000000000000004</v>
      </c>
      <c r="E12">
        <v>3.2</v>
      </c>
    </row>
    <row r="13" spans="1:5" x14ac:dyDescent="0.35">
      <c r="A13" t="str">
        <f>Лист3!A13</f>
        <v>Decem</v>
      </c>
      <c r="B13">
        <v>3.8</v>
      </c>
      <c r="C13">
        <v>1.35</v>
      </c>
      <c r="D13">
        <v>4.8</v>
      </c>
      <c r="E13">
        <v>2.66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15F7-0B71-4205-8C05-91946A0EBF1D}">
  <dimension ref="A1:E6"/>
  <sheetViews>
    <sheetView topLeftCell="A4" workbookViewId="0">
      <selection activeCell="R20" sqref="R20"/>
    </sheetView>
  </sheetViews>
  <sheetFormatPr defaultRowHeight="14.5" x14ac:dyDescent="0.35"/>
  <sheetData>
    <row r="1" spans="1:5" x14ac:dyDescent="0.35">
      <c r="B1" t="str">
        <f>Лист4!B1</f>
        <v>Yer2</v>
      </c>
      <c r="C1" t="str">
        <f>Лист4!C1</f>
        <v>Yer3</v>
      </c>
      <c r="D1" t="str">
        <f>Лист4!D1</f>
        <v>Yer4(09)</v>
      </c>
      <c r="E1" t="str">
        <f>Лист4!E1</f>
        <v>Yer5</v>
      </c>
    </row>
    <row r="2" spans="1:5" x14ac:dyDescent="0.35">
      <c r="A2">
        <v>2021</v>
      </c>
      <c r="B2">
        <v>0.88</v>
      </c>
      <c r="C2">
        <v>1.29</v>
      </c>
      <c r="D2">
        <v>2.0099999999999998</v>
      </c>
      <c r="E2">
        <v>1.82</v>
      </c>
    </row>
    <row r="3" spans="1:5" x14ac:dyDescent="0.35">
      <c r="A3">
        <v>2022</v>
      </c>
      <c r="B3">
        <v>1.24</v>
      </c>
      <c r="C3">
        <v>1.27</v>
      </c>
      <c r="D3">
        <v>1.92</v>
      </c>
      <c r="E3">
        <v>1.68</v>
      </c>
    </row>
    <row r="4" spans="1:5" x14ac:dyDescent="0.35">
      <c r="A4">
        <v>2023</v>
      </c>
      <c r="B4">
        <v>1.84</v>
      </c>
      <c r="C4">
        <v>2.06</v>
      </c>
      <c r="D4">
        <v>2.96</v>
      </c>
      <c r="E4">
        <v>2.44</v>
      </c>
    </row>
    <row r="5" spans="1:5" x14ac:dyDescent="0.35">
      <c r="A5">
        <v>2024</v>
      </c>
      <c r="B5">
        <v>2.54</v>
      </c>
      <c r="C5">
        <v>2.5099999999999998</v>
      </c>
      <c r="D5">
        <v>3.06</v>
      </c>
      <c r="E5">
        <v>2.69</v>
      </c>
    </row>
    <row r="6" spans="1:5" x14ac:dyDescent="0.35">
      <c r="A6">
        <v>2025</v>
      </c>
      <c r="B6">
        <v>1.48</v>
      </c>
      <c r="C6">
        <v>1.22</v>
      </c>
      <c r="D6">
        <v>2.5099999999999998</v>
      </c>
      <c r="E6">
        <v>2.1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425-4722-4207-906F-051C417B7CE0}">
  <dimension ref="A2:B58"/>
  <sheetViews>
    <sheetView workbookViewId="0">
      <selection activeCell="L11" sqref="L11"/>
    </sheetView>
  </sheetViews>
  <sheetFormatPr defaultRowHeight="14.5" x14ac:dyDescent="0.35"/>
  <sheetData>
    <row r="2" spans="1:2" x14ac:dyDescent="0.35">
      <c r="A2">
        <v>2021</v>
      </c>
      <c r="B2" t="str">
        <f>Лист4!A2</f>
        <v>Jan</v>
      </c>
    </row>
    <row r="3" spans="1:2" x14ac:dyDescent="0.35">
      <c r="A3">
        <v>2021</v>
      </c>
      <c r="B3" t="str">
        <f>Лист4!A3</f>
        <v>Feb</v>
      </c>
    </row>
    <row r="4" spans="1:2" x14ac:dyDescent="0.35">
      <c r="A4">
        <v>2021</v>
      </c>
      <c r="B4" t="str">
        <f>Лист4!A4</f>
        <v>Mart</v>
      </c>
    </row>
    <row r="5" spans="1:2" x14ac:dyDescent="0.35">
      <c r="A5">
        <f t="shared" ref="A5:A7" si="0">A2</f>
        <v>2021</v>
      </c>
      <c r="B5" t="str">
        <f>Лист4!A5</f>
        <v>April</v>
      </c>
    </row>
    <row r="6" spans="1:2" x14ac:dyDescent="0.35">
      <c r="A6">
        <f t="shared" si="0"/>
        <v>2021</v>
      </c>
      <c r="B6" t="str">
        <f>Лист4!A6</f>
        <v>May</v>
      </c>
    </row>
    <row r="7" spans="1:2" x14ac:dyDescent="0.35">
      <c r="A7">
        <f t="shared" si="0"/>
        <v>2021</v>
      </c>
      <c r="B7" t="str">
        <f>Лист4!A7</f>
        <v>June</v>
      </c>
    </row>
    <row r="8" spans="1:2" x14ac:dyDescent="0.35">
      <c r="A8">
        <f t="shared" ref="A8:A10" si="1">A2</f>
        <v>2021</v>
      </c>
      <c r="B8" t="str">
        <f>Лист4!A8</f>
        <v>July</v>
      </c>
    </row>
    <row r="9" spans="1:2" x14ac:dyDescent="0.35">
      <c r="A9">
        <f t="shared" si="1"/>
        <v>2021</v>
      </c>
      <c r="B9" t="str">
        <f>Лист4!A9</f>
        <v>August</v>
      </c>
    </row>
    <row r="10" spans="1:2" x14ac:dyDescent="0.35">
      <c r="A10">
        <f t="shared" si="1"/>
        <v>2021</v>
      </c>
      <c r="B10" t="str">
        <f>Лист4!A10</f>
        <v>Sept</v>
      </c>
    </row>
    <row r="11" spans="1:2" x14ac:dyDescent="0.35">
      <c r="A11">
        <f t="shared" ref="A11:A13" si="2">A2</f>
        <v>2021</v>
      </c>
      <c r="B11" t="str">
        <f>Лист4!A11</f>
        <v>Octob</v>
      </c>
    </row>
    <row r="12" spans="1:2" x14ac:dyDescent="0.35">
      <c r="A12">
        <f t="shared" si="2"/>
        <v>2021</v>
      </c>
      <c r="B12" t="str">
        <f>Лист4!A12</f>
        <v>Novem</v>
      </c>
    </row>
    <row r="13" spans="1:2" x14ac:dyDescent="0.35">
      <c r="A13">
        <f t="shared" si="2"/>
        <v>2021</v>
      </c>
      <c r="B13" t="str">
        <f>Лист4!A13</f>
        <v>Decem</v>
      </c>
    </row>
    <row r="14" spans="1:2" x14ac:dyDescent="0.35">
      <c r="A14">
        <v>2022</v>
      </c>
      <c r="B14" t="str">
        <f t="shared" ref="B14:B25" si="3">B2</f>
        <v>Jan</v>
      </c>
    </row>
    <row r="15" spans="1:2" x14ac:dyDescent="0.35">
      <c r="A15">
        <v>2022</v>
      </c>
      <c r="B15" t="str">
        <f t="shared" si="3"/>
        <v>Feb</v>
      </c>
    </row>
    <row r="16" spans="1:2" x14ac:dyDescent="0.35">
      <c r="A16">
        <v>2022</v>
      </c>
      <c r="B16" t="str">
        <f t="shared" si="3"/>
        <v>Mart</v>
      </c>
    </row>
    <row r="17" spans="1:2" x14ac:dyDescent="0.35">
      <c r="A17">
        <v>2022</v>
      </c>
      <c r="B17" t="str">
        <f t="shared" si="3"/>
        <v>April</v>
      </c>
    </row>
    <row r="18" spans="1:2" x14ac:dyDescent="0.35">
      <c r="A18">
        <v>2022</v>
      </c>
      <c r="B18" t="str">
        <f t="shared" si="3"/>
        <v>May</v>
      </c>
    </row>
    <row r="19" spans="1:2" x14ac:dyDescent="0.35">
      <c r="A19">
        <v>2022</v>
      </c>
      <c r="B19" t="str">
        <f t="shared" si="3"/>
        <v>June</v>
      </c>
    </row>
    <row r="20" spans="1:2" x14ac:dyDescent="0.35">
      <c r="A20">
        <f t="shared" ref="A20:A25" si="4">A14</f>
        <v>2022</v>
      </c>
      <c r="B20" t="str">
        <f t="shared" si="3"/>
        <v>July</v>
      </c>
    </row>
    <row r="21" spans="1:2" x14ac:dyDescent="0.35">
      <c r="A21">
        <f t="shared" si="4"/>
        <v>2022</v>
      </c>
      <c r="B21" t="str">
        <f t="shared" si="3"/>
        <v>August</v>
      </c>
    </row>
    <row r="22" spans="1:2" x14ac:dyDescent="0.35">
      <c r="A22">
        <f t="shared" si="4"/>
        <v>2022</v>
      </c>
      <c r="B22" t="str">
        <f t="shared" si="3"/>
        <v>Sept</v>
      </c>
    </row>
    <row r="23" spans="1:2" x14ac:dyDescent="0.35">
      <c r="A23">
        <f t="shared" si="4"/>
        <v>2022</v>
      </c>
      <c r="B23" t="str">
        <f t="shared" si="3"/>
        <v>Octob</v>
      </c>
    </row>
    <row r="24" spans="1:2" x14ac:dyDescent="0.35">
      <c r="A24">
        <f t="shared" si="4"/>
        <v>2022</v>
      </c>
      <c r="B24" t="str">
        <f t="shared" si="3"/>
        <v>Novem</v>
      </c>
    </row>
    <row r="25" spans="1:2" x14ac:dyDescent="0.35">
      <c r="A25">
        <f t="shared" si="4"/>
        <v>2022</v>
      </c>
      <c r="B25" t="str">
        <f t="shared" si="3"/>
        <v>Decem</v>
      </c>
    </row>
    <row r="26" spans="1:2" x14ac:dyDescent="0.35">
      <c r="A26">
        <v>2023</v>
      </c>
      <c r="B26" t="str">
        <f t="shared" ref="B26:B37" si="5">B14</f>
        <v>Jan</v>
      </c>
    </row>
    <row r="27" spans="1:2" x14ac:dyDescent="0.35">
      <c r="A27">
        <v>2023</v>
      </c>
      <c r="B27" t="str">
        <f t="shared" si="5"/>
        <v>Feb</v>
      </c>
    </row>
    <row r="28" spans="1:2" x14ac:dyDescent="0.35">
      <c r="A28">
        <v>2023</v>
      </c>
      <c r="B28" t="str">
        <f t="shared" si="5"/>
        <v>Mart</v>
      </c>
    </row>
    <row r="29" spans="1:2" x14ac:dyDescent="0.35">
      <c r="A29">
        <v>2023</v>
      </c>
      <c r="B29" t="str">
        <f t="shared" si="5"/>
        <v>April</v>
      </c>
    </row>
    <row r="30" spans="1:2" x14ac:dyDescent="0.35">
      <c r="A30">
        <f t="shared" ref="A30:A33" si="6">A26</f>
        <v>2023</v>
      </c>
      <c r="B30" t="str">
        <f t="shared" si="5"/>
        <v>May</v>
      </c>
    </row>
    <row r="31" spans="1:2" x14ac:dyDescent="0.35">
      <c r="A31">
        <f t="shared" si="6"/>
        <v>2023</v>
      </c>
      <c r="B31" t="str">
        <f t="shared" si="5"/>
        <v>June</v>
      </c>
    </row>
    <row r="32" spans="1:2" x14ac:dyDescent="0.35">
      <c r="A32">
        <f t="shared" si="6"/>
        <v>2023</v>
      </c>
      <c r="B32" t="str">
        <f t="shared" si="5"/>
        <v>July</v>
      </c>
    </row>
    <row r="33" spans="1:2" x14ac:dyDescent="0.35">
      <c r="A33">
        <f t="shared" si="6"/>
        <v>2023</v>
      </c>
      <c r="B33" t="str">
        <f t="shared" si="5"/>
        <v>August</v>
      </c>
    </row>
    <row r="34" spans="1:2" x14ac:dyDescent="0.35">
      <c r="A34">
        <f t="shared" ref="A34:A37" si="7">A26</f>
        <v>2023</v>
      </c>
      <c r="B34" t="str">
        <f t="shared" si="5"/>
        <v>Sept</v>
      </c>
    </row>
    <row r="35" spans="1:2" x14ac:dyDescent="0.35">
      <c r="A35">
        <f t="shared" si="7"/>
        <v>2023</v>
      </c>
      <c r="B35" t="str">
        <f t="shared" si="5"/>
        <v>Octob</v>
      </c>
    </row>
    <row r="36" spans="1:2" x14ac:dyDescent="0.35">
      <c r="A36">
        <f t="shared" si="7"/>
        <v>2023</v>
      </c>
      <c r="B36" t="str">
        <f t="shared" si="5"/>
        <v>Novem</v>
      </c>
    </row>
    <row r="37" spans="1:2" x14ac:dyDescent="0.35">
      <c r="A37">
        <f t="shared" si="7"/>
        <v>2023</v>
      </c>
      <c r="B37" t="str">
        <f t="shared" si="5"/>
        <v>Decem</v>
      </c>
    </row>
    <row r="38" spans="1:2" x14ac:dyDescent="0.35">
      <c r="A38">
        <v>2024</v>
      </c>
      <c r="B38" t="str">
        <f t="shared" ref="B38:B49" si="8">B26</f>
        <v>Jan</v>
      </c>
    </row>
    <row r="39" spans="1:2" x14ac:dyDescent="0.35">
      <c r="A39">
        <v>2024</v>
      </c>
      <c r="B39" t="str">
        <f t="shared" si="8"/>
        <v>Feb</v>
      </c>
    </row>
    <row r="40" spans="1:2" x14ac:dyDescent="0.35">
      <c r="A40">
        <v>2024</v>
      </c>
      <c r="B40" t="str">
        <f t="shared" si="8"/>
        <v>Mart</v>
      </c>
    </row>
    <row r="41" spans="1:2" x14ac:dyDescent="0.35">
      <c r="A41">
        <v>2024</v>
      </c>
      <c r="B41" t="str">
        <f t="shared" si="8"/>
        <v>April</v>
      </c>
    </row>
    <row r="42" spans="1:2" x14ac:dyDescent="0.35">
      <c r="A42">
        <f t="shared" ref="A42:A45" si="9">A38</f>
        <v>2024</v>
      </c>
      <c r="B42" t="str">
        <f t="shared" si="8"/>
        <v>May</v>
      </c>
    </row>
    <row r="43" spans="1:2" x14ac:dyDescent="0.35">
      <c r="A43">
        <f t="shared" si="9"/>
        <v>2024</v>
      </c>
      <c r="B43" t="str">
        <f t="shared" si="8"/>
        <v>June</v>
      </c>
    </row>
    <row r="44" spans="1:2" x14ac:dyDescent="0.35">
      <c r="A44">
        <f t="shared" si="9"/>
        <v>2024</v>
      </c>
      <c r="B44" t="str">
        <f t="shared" si="8"/>
        <v>July</v>
      </c>
    </row>
    <row r="45" spans="1:2" x14ac:dyDescent="0.35">
      <c r="A45">
        <f t="shared" si="9"/>
        <v>2024</v>
      </c>
      <c r="B45" t="str">
        <f t="shared" si="8"/>
        <v>August</v>
      </c>
    </row>
    <row r="46" spans="1:2" x14ac:dyDescent="0.35">
      <c r="A46">
        <f t="shared" ref="A46:A49" si="10">A38</f>
        <v>2024</v>
      </c>
      <c r="B46" t="str">
        <f t="shared" si="8"/>
        <v>Sept</v>
      </c>
    </row>
    <row r="47" spans="1:2" x14ac:dyDescent="0.35">
      <c r="A47">
        <f t="shared" si="10"/>
        <v>2024</v>
      </c>
      <c r="B47" t="str">
        <f t="shared" si="8"/>
        <v>Octob</v>
      </c>
    </row>
    <row r="48" spans="1:2" x14ac:dyDescent="0.35">
      <c r="A48">
        <f t="shared" si="10"/>
        <v>2024</v>
      </c>
      <c r="B48" t="str">
        <f t="shared" si="8"/>
        <v>Novem</v>
      </c>
    </row>
    <row r="49" spans="1:2" x14ac:dyDescent="0.35">
      <c r="A49">
        <f t="shared" si="10"/>
        <v>2024</v>
      </c>
      <c r="B49" t="str">
        <f t="shared" si="8"/>
        <v>Decem</v>
      </c>
    </row>
    <row r="50" spans="1:2" x14ac:dyDescent="0.35">
      <c r="A50">
        <v>2025</v>
      </c>
      <c r="B50" t="str">
        <f t="shared" ref="B50:B58" si="11">B38</f>
        <v>Jan</v>
      </c>
    </row>
    <row r="51" spans="1:2" x14ac:dyDescent="0.35">
      <c r="A51">
        <v>2025</v>
      </c>
      <c r="B51" t="str">
        <f t="shared" si="11"/>
        <v>Feb</v>
      </c>
    </row>
    <row r="52" spans="1:2" x14ac:dyDescent="0.35">
      <c r="A52">
        <v>2025</v>
      </c>
      <c r="B52" t="str">
        <f t="shared" si="11"/>
        <v>Mart</v>
      </c>
    </row>
    <row r="53" spans="1:2" x14ac:dyDescent="0.35">
      <c r="A53">
        <v>2025</v>
      </c>
      <c r="B53" t="str">
        <f t="shared" si="11"/>
        <v>April</v>
      </c>
    </row>
    <row r="54" spans="1:2" x14ac:dyDescent="0.35">
      <c r="A54">
        <f t="shared" ref="A54:A57" si="12">A50</f>
        <v>2025</v>
      </c>
      <c r="B54" t="str">
        <f t="shared" si="11"/>
        <v>May</v>
      </c>
    </row>
    <row r="55" spans="1:2" x14ac:dyDescent="0.35">
      <c r="A55">
        <f t="shared" si="12"/>
        <v>2025</v>
      </c>
      <c r="B55" t="str">
        <f t="shared" si="11"/>
        <v>June</v>
      </c>
    </row>
    <row r="56" spans="1:2" x14ac:dyDescent="0.35">
      <c r="A56">
        <f t="shared" si="12"/>
        <v>2025</v>
      </c>
      <c r="B56" t="str">
        <f t="shared" si="11"/>
        <v>July</v>
      </c>
    </row>
    <row r="57" spans="1:2" x14ac:dyDescent="0.35">
      <c r="A57">
        <f t="shared" si="12"/>
        <v>2025</v>
      </c>
      <c r="B57" t="str">
        <f t="shared" si="11"/>
        <v>August</v>
      </c>
    </row>
    <row r="58" spans="1:2" x14ac:dyDescent="0.35">
      <c r="A58">
        <f t="shared" ref="A58" si="13">A50</f>
        <v>2025</v>
      </c>
      <c r="B58" t="str">
        <f t="shared" si="11"/>
        <v>Sept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32EB-5911-49D9-A064-5058A98A1330}">
  <dimension ref="A1:F60"/>
  <sheetViews>
    <sheetView tabSelected="1" workbookViewId="0">
      <selection activeCell="H3" sqref="H3"/>
    </sheetView>
  </sheetViews>
  <sheetFormatPr defaultRowHeight="14.5" x14ac:dyDescent="0.35"/>
  <sheetData>
    <row r="1" spans="1:6" x14ac:dyDescent="0.35">
      <c r="A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5">
      <c r="A2">
        <f>Лист6!A2</f>
        <v>2021</v>
      </c>
      <c r="B2" t="str">
        <f>Лист6!B2</f>
        <v>Jan</v>
      </c>
      <c r="C2">
        <f>Лист2!B2</f>
        <v>1.4</v>
      </c>
      <c r="D2">
        <f>Лист2!C2</f>
        <v>2.6</v>
      </c>
      <c r="E2">
        <f>Лист2!D2</f>
        <v>2.4</v>
      </c>
      <c r="F2">
        <f>Лист2!E2</f>
        <v>1.56</v>
      </c>
    </row>
    <row r="3" spans="1:6" x14ac:dyDescent="0.35">
      <c r="A3">
        <f>Лист6!A3</f>
        <v>2021</v>
      </c>
      <c r="B3" t="str">
        <f>Лист6!B3</f>
        <v>Feb</v>
      </c>
      <c r="C3">
        <f>Лист2!B3</f>
        <v>0</v>
      </c>
      <c r="D3">
        <f>Лист2!C3</f>
        <v>1</v>
      </c>
      <c r="E3">
        <f>Лист2!D3</f>
        <v>1.55</v>
      </c>
      <c r="F3">
        <f>Лист2!E3</f>
        <v>1.6</v>
      </c>
    </row>
    <row r="4" spans="1:6" x14ac:dyDescent="0.35">
      <c r="A4">
        <f>Лист6!A4</f>
        <v>2021</v>
      </c>
      <c r="B4" t="str">
        <f>Лист6!B4</f>
        <v>Mart</v>
      </c>
      <c r="C4">
        <f>Лист2!B4</f>
        <v>0</v>
      </c>
      <c r="D4">
        <f>Лист2!C4</f>
        <v>1</v>
      </c>
      <c r="E4">
        <f>Лист2!D4</f>
        <v>1.55</v>
      </c>
      <c r="F4">
        <f>Лист2!E4</f>
        <v>4.5</v>
      </c>
    </row>
    <row r="5" spans="1:6" x14ac:dyDescent="0.35">
      <c r="A5">
        <f>Лист6!A5</f>
        <v>2021</v>
      </c>
      <c r="B5" t="str">
        <f>Лист6!B5</f>
        <v>April</v>
      </c>
      <c r="C5">
        <f>Лист2!B5</f>
        <v>0</v>
      </c>
      <c r="D5">
        <f>Лист2!C5</f>
        <v>1.1000000000000001</v>
      </c>
      <c r="E5">
        <f>Лист2!D5</f>
        <v>2.4300000000000002</v>
      </c>
      <c r="F5">
        <f>Лист2!E5</f>
        <v>1.76</v>
      </c>
    </row>
    <row r="6" spans="1:6" x14ac:dyDescent="0.35">
      <c r="A6">
        <f>Лист6!A6</f>
        <v>2021</v>
      </c>
      <c r="B6" t="str">
        <f>Лист6!B6</f>
        <v>May</v>
      </c>
      <c r="C6">
        <f>Лист2!B6</f>
        <v>3.1</v>
      </c>
      <c r="D6">
        <f>Лист2!C6</f>
        <v>3.6</v>
      </c>
      <c r="E6">
        <f>Лист2!D6</f>
        <v>1.5</v>
      </c>
      <c r="F6">
        <f>Лист2!E6</f>
        <v>1.76</v>
      </c>
    </row>
    <row r="7" spans="1:6" x14ac:dyDescent="0.35">
      <c r="A7">
        <f>Лист6!A7</f>
        <v>2021</v>
      </c>
      <c r="B7" t="str">
        <f>Лист6!B7</f>
        <v>June</v>
      </c>
      <c r="C7">
        <f>Лист2!B7</f>
        <v>0</v>
      </c>
      <c r="D7">
        <f>Лист2!C7</f>
        <v>0</v>
      </c>
      <c r="E7">
        <f>Лист2!D7</f>
        <v>1.46</v>
      </c>
      <c r="F7">
        <f>Лист2!E7</f>
        <v>2.9</v>
      </c>
    </row>
    <row r="8" spans="1:6" x14ac:dyDescent="0.35">
      <c r="A8">
        <f>Лист6!A8</f>
        <v>2021</v>
      </c>
      <c r="B8" t="str">
        <f>Лист6!B8</f>
        <v>July</v>
      </c>
      <c r="C8">
        <f>Лист2!B8</f>
        <v>1.6</v>
      </c>
      <c r="D8">
        <f>Лист2!C8</f>
        <v>1.5</v>
      </c>
      <c r="E8">
        <f>Лист2!D8</f>
        <v>2.95</v>
      </c>
      <c r="F8">
        <f>Лист2!E8</f>
        <v>1.8</v>
      </c>
    </row>
    <row r="9" spans="1:6" x14ac:dyDescent="0.35">
      <c r="A9">
        <f>Лист6!A9</f>
        <v>2021</v>
      </c>
      <c r="B9" t="str">
        <f>Лист6!B9</f>
        <v>August</v>
      </c>
      <c r="C9">
        <f>Лист2!B9</f>
        <v>1.6</v>
      </c>
      <c r="D9">
        <f>Лист2!C9</f>
        <v>1.5</v>
      </c>
      <c r="E9">
        <f>Лист2!D9</f>
        <v>1.93</v>
      </c>
      <c r="F9">
        <f>Лист2!E9</f>
        <v>1.63</v>
      </c>
    </row>
    <row r="10" spans="1:6" x14ac:dyDescent="0.35">
      <c r="A10">
        <f>Лист6!A10</f>
        <v>2021</v>
      </c>
      <c r="B10" t="str">
        <f>Лист6!B10</f>
        <v>Sept</v>
      </c>
      <c r="C10">
        <f>Лист2!B10</f>
        <v>1.8</v>
      </c>
      <c r="D10">
        <f>Лист2!C10</f>
        <v>2.2000000000000002</v>
      </c>
      <c r="E10">
        <f>Лист2!D10</f>
        <v>3.2</v>
      </c>
      <c r="F10">
        <f>Лист2!E10</f>
        <v>2</v>
      </c>
    </row>
    <row r="11" spans="1:6" x14ac:dyDescent="0.35">
      <c r="A11">
        <f>Лист6!A11</f>
        <v>2021</v>
      </c>
      <c r="B11" t="str">
        <f>Лист6!B11</f>
        <v>Octob</v>
      </c>
      <c r="C11">
        <f>Лист2!B11</f>
        <v>0</v>
      </c>
      <c r="D11">
        <f>Лист2!C11</f>
        <v>0</v>
      </c>
      <c r="E11">
        <f>Лист2!D11</f>
        <v>1.7</v>
      </c>
      <c r="F11">
        <f>Лист2!E11</f>
        <v>1</v>
      </c>
    </row>
    <row r="12" spans="1:6" x14ac:dyDescent="0.35">
      <c r="A12">
        <f>Лист6!A12</f>
        <v>2021</v>
      </c>
      <c r="B12" t="str">
        <f>Лист6!B12</f>
        <v>Novem</v>
      </c>
      <c r="C12">
        <f>Лист2!B12</f>
        <v>1</v>
      </c>
      <c r="D12">
        <f>Лист2!C12</f>
        <v>1</v>
      </c>
      <c r="E12">
        <f>Лист2!D12</f>
        <v>1.5</v>
      </c>
      <c r="F12">
        <f>Лист2!E12</f>
        <v>1.3</v>
      </c>
    </row>
    <row r="13" spans="1:6" x14ac:dyDescent="0.35">
      <c r="A13">
        <f>Лист6!A13</f>
        <v>2021</v>
      </c>
      <c r="B13" t="str">
        <f>Лист6!B13</f>
        <v>Decem</v>
      </c>
      <c r="C13">
        <f>Лист2!B13</f>
        <v>0</v>
      </c>
      <c r="D13">
        <f>Лист2!C13</f>
        <v>0</v>
      </c>
      <c r="E13">
        <f>Лист2!D13</f>
        <v>1.93</v>
      </c>
      <c r="F13">
        <f>Лист2!E13</f>
        <v>0</v>
      </c>
    </row>
    <row r="14" spans="1:6" x14ac:dyDescent="0.35">
      <c r="A14">
        <f>Лист6!A14</f>
        <v>2022</v>
      </c>
      <c r="B14" t="str">
        <f>Лист6!B14</f>
        <v>Jan</v>
      </c>
      <c r="C14">
        <f>Лист3!B2</f>
        <v>0</v>
      </c>
      <c r="D14">
        <f>Лист3!C2</f>
        <v>0</v>
      </c>
      <c r="E14">
        <f>Лист3!D2</f>
        <v>1.8</v>
      </c>
      <c r="F14">
        <f>Лист3!E2</f>
        <v>1.5</v>
      </c>
    </row>
    <row r="15" spans="1:6" x14ac:dyDescent="0.35">
      <c r="A15">
        <f>Лист6!A15</f>
        <v>2022</v>
      </c>
      <c r="B15" t="str">
        <f>Лист6!B15</f>
        <v>Feb</v>
      </c>
      <c r="C15">
        <f>Лист3!B3</f>
        <v>0</v>
      </c>
      <c r="D15">
        <f>Лист3!C3</f>
        <v>0</v>
      </c>
      <c r="E15">
        <f>Лист3!D3</f>
        <v>1.1499999999999999</v>
      </c>
      <c r="F15">
        <f>Лист3!E3</f>
        <v>1.1000000000000001</v>
      </c>
    </row>
    <row r="16" spans="1:6" x14ac:dyDescent="0.35">
      <c r="A16">
        <f>Лист6!A16</f>
        <v>2022</v>
      </c>
      <c r="B16" t="str">
        <f>Лист6!B16</f>
        <v>Mart</v>
      </c>
      <c r="C16">
        <f>Лист3!B4</f>
        <v>0</v>
      </c>
      <c r="D16">
        <f>Лист3!C4</f>
        <v>0</v>
      </c>
      <c r="E16">
        <f>Лист3!D4</f>
        <v>1.26</v>
      </c>
      <c r="F16">
        <f>Лист3!E4</f>
        <v>0</v>
      </c>
    </row>
    <row r="17" spans="1:6" x14ac:dyDescent="0.35">
      <c r="A17">
        <f>Лист6!A17</f>
        <v>2022</v>
      </c>
      <c r="B17" t="str">
        <f>Лист6!B17</f>
        <v>April</v>
      </c>
      <c r="C17">
        <f>Лист3!B5</f>
        <v>1</v>
      </c>
      <c r="D17">
        <f>Лист3!C5</f>
        <v>1.1000000000000001</v>
      </c>
      <c r="E17">
        <f>Лист3!D5</f>
        <v>3.13</v>
      </c>
      <c r="F17">
        <f>Лист3!E5</f>
        <v>3.36</v>
      </c>
    </row>
    <row r="18" spans="1:6" x14ac:dyDescent="0.35">
      <c r="A18">
        <f>Лист6!A18</f>
        <v>2022</v>
      </c>
      <c r="B18" t="str">
        <f>Лист6!B18</f>
        <v>May</v>
      </c>
      <c r="C18">
        <f>Лист3!B6</f>
        <v>1.4</v>
      </c>
      <c r="D18">
        <f>Лист3!C6</f>
        <v>1.5</v>
      </c>
      <c r="E18">
        <f>Лист3!D6</f>
        <v>2.4</v>
      </c>
      <c r="F18">
        <f>Лист3!E6</f>
        <v>2.2000000000000002</v>
      </c>
    </row>
    <row r="19" spans="1:6" x14ac:dyDescent="0.35">
      <c r="A19">
        <f>Лист6!A19</f>
        <v>2022</v>
      </c>
      <c r="B19" t="str">
        <f>Лист6!B19</f>
        <v>June</v>
      </c>
      <c r="C19">
        <f>Лист3!B7</f>
        <v>1.8</v>
      </c>
      <c r="D19">
        <f>Лист3!C7</f>
        <v>1.6</v>
      </c>
      <c r="E19">
        <f>Лист3!D7</f>
        <v>2.16</v>
      </c>
      <c r="F19">
        <f>Лист3!E7</f>
        <v>1.8</v>
      </c>
    </row>
    <row r="20" spans="1:6" x14ac:dyDescent="0.35">
      <c r="A20">
        <f>Лист6!A20</f>
        <v>2022</v>
      </c>
      <c r="B20" t="str">
        <f>Лист6!B20</f>
        <v>July</v>
      </c>
      <c r="C20">
        <f>Лист3!B8</f>
        <v>1.3</v>
      </c>
      <c r="D20">
        <f>Лист3!C8</f>
        <v>1.3</v>
      </c>
      <c r="E20">
        <f>Лист3!D8</f>
        <v>1.43</v>
      </c>
      <c r="F20">
        <f>Лист3!E8</f>
        <v>1.55</v>
      </c>
    </row>
    <row r="21" spans="1:6" x14ac:dyDescent="0.35">
      <c r="A21">
        <f>Лист6!A21</f>
        <v>2022</v>
      </c>
      <c r="B21" t="str">
        <f>Лист6!B21</f>
        <v>August</v>
      </c>
      <c r="C21">
        <f>Лист3!B9</f>
        <v>1.9</v>
      </c>
      <c r="D21">
        <f>Лист3!C9</f>
        <v>2.1</v>
      </c>
      <c r="E21">
        <f>Лист3!D9</f>
        <v>1.5</v>
      </c>
      <c r="F21">
        <f>Лист3!E9</f>
        <v>2.2000000000000002</v>
      </c>
    </row>
    <row r="22" spans="1:6" x14ac:dyDescent="0.35">
      <c r="A22">
        <f>Лист6!A22</f>
        <v>2022</v>
      </c>
      <c r="B22" t="str">
        <f>Лист6!B22</f>
        <v>Sept</v>
      </c>
      <c r="C22">
        <f>Лист3!B10</f>
        <v>1.9</v>
      </c>
      <c r="D22">
        <f>Лист3!C10</f>
        <v>1.9</v>
      </c>
      <c r="E22">
        <f>Лист3!D10</f>
        <v>1.6</v>
      </c>
      <c r="F22">
        <f>Лист3!E10</f>
        <v>2</v>
      </c>
    </row>
    <row r="23" spans="1:6" x14ac:dyDescent="0.35">
      <c r="A23">
        <f>Лист6!A23</f>
        <v>2022</v>
      </c>
      <c r="B23" t="str">
        <f>Лист6!B23</f>
        <v>Octob</v>
      </c>
      <c r="C23">
        <f>Лист3!B11</f>
        <v>2</v>
      </c>
      <c r="D23">
        <f>Лист3!C11</f>
        <v>2.1</v>
      </c>
      <c r="E23">
        <f>Лист3!D11</f>
        <v>1.8</v>
      </c>
      <c r="F23">
        <f>Лист3!E11</f>
        <v>1.5</v>
      </c>
    </row>
    <row r="24" spans="1:6" x14ac:dyDescent="0.35">
      <c r="A24">
        <f>Лист6!A24</f>
        <v>2022</v>
      </c>
      <c r="B24" t="str">
        <f>Лист6!B24</f>
        <v>Novem</v>
      </c>
      <c r="C24">
        <f>Лист3!B12</f>
        <v>1.4</v>
      </c>
      <c r="D24">
        <f>Лист3!C12</f>
        <v>2</v>
      </c>
      <c r="E24">
        <f>Лист3!D12</f>
        <v>2.0499999999999998</v>
      </c>
      <c r="F24">
        <f>Лист3!E12</f>
        <v>1.2</v>
      </c>
    </row>
    <row r="25" spans="1:6" x14ac:dyDescent="0.35">
      <c r="A25">
        <f>Лист6!A25</f>
        <v>2022</v>
      </c>
      <c r="B25" t="str">
        <f>Лист6!B25</f>
        <v>Decem</v>
      </c>
      <c r="C25">
        <f>Лист3!B13</f>
        <v>2.2000000000000002</v>
      </c>
      <c r="D25">
        <f>Лист3!C13</f>
        <v>1.7</v>
      </c>
      <c r="E25">
        <f>Лист3!D13</f>
        <v>2.7</v>
      </c>
      <c r="F25">
        <f>Лист3!E13</f>
        <v>1.85</v>
      </c>
    </row>
    <row r="26" spans="1:6" x14ac:dyDescent="0.35">
      <c r="A26">
        <f>Лист6!A26</f>
        <v>2023</v>
      </c>
      <c r="B26" t="str">
        <f>Лист6!B26</f>
        <v>Jan</v>
      </c>
      <c r="C26">
        <f>Лист4!B2</f>
        <v>1.5</v>
      </c>
      <c r="D26">
        <f>Лист4!C2</f>
        <v>1.9</v>
      </c>
      <c r="E26">
        <f>Лист4!D2</f>
        <v>1.86</v>
      </c>
      <c r="F26">
        <f>Лист4!E2</f>
        <v>1.85</v>
      </c>
    </row>
    <row r="27" spans="1:6" x14ac:dyDescent="0.35">
      <c r="A27">
        <f>Лист6!A27</f>
        <v>2023</v>
      </c>
      <c r="B27" t="str">
        <f>Лист6!B27</f>
        <v>Feb</v>
      </c>
      <c r="C27">
        <f>Лист4!B3</f>
        <v>1.8</v>
      </c>
      <c r="D27">
        <f>Лист4!C3</f>
        <v>2.15</v>
      </c>
      <c r="E27">
        <f>Лист4!D3</f>
        <v>2.4300000000000002</v>
      </c>
      <c r="F27">
        <f>Лист4!E3</f>
        <v>1.7</v>
      </c>
    </row>
    <row r="28" spans="1:6" x14ac:dyDescent="0.35">
      <c r="A28">
        <f>Лист6!A28</f>
        <v>2023</v>
      </c>
      <c r="B28" t="str">
        <f>Лист6!B28</f>
        <v>Mart</v>
      </c>
      <c r="C28">
        <f>Лист4!B4</f>
        <v>2.1</v>
      </c>
      <c r="D28">
        <f>Лист4!C4</f>
        <v>2.5</v>
      </c>
      <c r="E28">
        <f>Лист4!D4</f>
        <v>3.58</v>
      </c>
      <c r="F28">
        <f>Лист4!E4</f>
        <v>1.8</v>
      </c>
    </row>
    <row r="29" spans="1:6" x14ac:dyDescent="0.35">
      <c r="A29">
        <f>Лист6!A29</f>
        <v>2023</v>
      </c>
      <c r="B29" t="str">
        <f>Лист6!B29</f>
        <v>April</v>
      </c>
      <c r="C29">
        <f>Лист4!B5</f>
        <v>1</v>
      </c>
      <c r="D29">
        <f>Лист4!C5</f>
        <v>1.1000000000000001</v>
      </c>
      <c r="E29">
        <f>Лист4!D5</f>
        <v>3.2</v>
      </c>
      <c r="F29">
        <f>Лист4!E5</f>
        <v>4.6500000000000004</v>
      </c>
    </row>
    <row r="30" spans="1:6" x14ac:dyDescent="0.35">
      <c r="A30">
        <f>Лист6!A30</f>
        <v>2023</v>
      </c>
      <c r="B30" t="str">
        <f>Лист6!B30</f>
        <v>May</v>
      </c>
      <c r="C30">
        <f>Лист4!B6</f>
        <v>0</v>
      </c>
      <c r="D30">
        <f>Лист4!C6</f>
        <v>1.3</v>
      </c>
      <c r="E30">
        <f>Лист4!D6</f>
        <v>2.56</v>
      </c>
      <c r="F30">
        <f>Лист4!E6</f>
        <v>2.2000000000000002</v>
      </c>
    </row>
    <row r="31" spans="1:6" x14ac:dyDescent="0.35">
      <c r="A31">
        <f>Лист6!A31</f>
        <v>2023</v>
      </c>
      <c r="B31" t="str">
        <f>Лист6!B31</f>
        <v>June</v>
      </c>
      <c r="C31">
        <f>Лист4!B7</f>
        <v>1.9</v>
      </c>
      <c r="D31">
        <f>Лист4!C7</f>
        <v>1.8</v>
      </c>
      <c r="E31">
        <f>Лист4!D7</f>
        <v>1.96</v>
      </c>
      <c r="F31">
        <f>Лист4!E7</f>
        <v>2.0499999999999998</v>
      </c>
    </row>
    <row r="32" spans="1:6" x14ac:dyDescent="0.35">
      <c r="A32">
        <f>Лист6!A32</f>
        <v>2023</v>
      </c>
      <c r="B32" t="str">
        <f>Лист6!B32</f>
        <v>July</v>
      </c>
      <c r="C32">
        <f>Лист4!B8</f>
        <v>2.2000000000000002</v>
      </c>
      <c r="D32">
        <f>Лист4!C8</f>
        <v>2</v>
      </c>
      <c r="E32">
        <f>Лист4!D8</f>
        <v>2.06</v>
      </c>
      <c r="F32">
        <f>Лист4!E8</f>
        <v>1.9</v>
      </c>
    </row>
    <row r="33" spans="1:6" x14ac:dyDescent="0.35">
      <c r="A33">
        <f>Лист6!A33</f>
        <v>2023</v>
      </c>
      <c r="B33" t="str">
        <f>Лист6!B33</f>
        <v>August</v>
      </c>
      <c r="C33">
        <f>Лист4!B9</f>
        <v>1.9</v>
      </c>
      <c r="D33">
        <f>Лист4!C9</f>
        <v>1.8</v>
      </c>
      <c r="E33">
        <f>Лист4!D9</f>
        <v>1.6</v>
      </c>
      <c r="F33">
        <f>Лист4!E9</f>
        <v>1.6</v>
      </c>
    </row>
    <row r="34" spans="1:6" x14ac:dyDescent="0.35">
      <c r="A34">
        <f>Лист6!A34</f>
        <v>2023</v>
      </c>
      <c r="B34" t="str">
        <f>Лист6!B34</f>
        <v>Sept</v>
      </c>
      <c r="C34">
        <f>Лист4!B10</f>
        <v>1.5</v>
      </c>
      <c r="D34">
        <f>Лист4!C10</f>
        <v>1.2</v>
      </c>
      <c r="E34">
        <f>Лист4!D10</f>
        <v>2.8</v>
      </c>
      <c r="F34">
        <f>Лист4!E10</f>
        <v>2</v>
      </c>
    </row>
    <row r="35" spans="1:6" x14ac:dyDescent="0.35">
      <c r="A35">
        <f>Лист6!A35</f>
        <v>2023</v>
      </c>
      <c r="B35" t="str">
        <f>Лист6!B35</f>
        <v>Octob</v>
      </c>
      <c r="C35">
        <f>Лист4!B11</f>
        <v>1.9</v>
      </c>
      <c r="D35">
        <f>Лист4!C11</f>
        <v>3.1</v>
      </c>
      <c r="E35">
        <f>Лист4!D11</f>
        <v>3.8</v>
      </c>
      <c r="F35">
        <f>Лист4!E11</f>
        <v>3.7</v>
      </c>
    </row>
    <row r="36" spans="1:6" x14ac:dyDescent="0.35">
      <c r="A36">
        <f>Лист6!A36</f>
        <v>2023</v>
      </c>
      <c r="B36" t="str">
        <f>Лист6!B36</f>
        <v>Novem</v>
      </c>
      <c r="C36">
        <f>Лист4!B12</f>
        <v>2.5</v>
      </c>
      <c r="D36">
        <f>Лист4!C12</f>
        <v>4.5</v>
      </c>
      <c r="E36">
        <f>Лист4!D12</f>
        <v>4.9000000000000004</v>
      </c>
      <c r="F36">
        <f>Лист4!E12</f>
        <v>3.2</v>
      </c>
    </row>
    <row r="37" spans="1:6" x14ac:dyDescent="0.35">
      <c r="A37">
        <f>Лист6!A37</f>
        <v>2023</v>
      </c>
      <c r="B37" t="str">
        <f>Лист6!B37</f>
        <v>Decem</v>
      </c>
      <c r="C37">
        <f>Лист4!B13</f>
        <v>3.8</v>
      </c>
      <c r="D37">
        <f>Лист4!C13</f>
        <v>1.35</v>
      </c>
      <c r="E37">
        <f>Лист4!D13</f>
        <v>4.8</v>
      </c>
      <c r="F37">
        <f>Лист4!E13</f>
        <v>2.66</v>
      </c>
    </row>
    <row r="38" spans="1:6" x14ac:dyDescent="0.35">
      <c r="A38">
        <f>Лист6!A38</f>
        <v>2024</v>
      </c>
      <c r="B38" t="str">
        <f>Лист6!B38</f>
        <v>Jan</v>
      </c>
      <c r="C38">
        <f>Лист1!B2</f>
        <v>3.6</v>
      </c>
      <c r="D38">
        <f>Лист1!C2</f>
        <v>2.9</v>
      </c>
      <c r="E38">
        <f>Лист1!D2</f>
        <v>5.3</v>
      </c>
      <c r="F38">
        <f>Лист1!E2</f>
        <v>2.86</v>
      </c>
    </row>
    <row r="39" spans="1:6" x14ac:dyDescent="0.35">
      <c r="A39">
        <f>Лист6!A39</f>
        <v>2024</v>
      </c>
      <c r="B39" t="str">
        <f>Лист6!B39</f>
        <v>Feb</v>
      </c>
      <c r="C39">
        <f>Лист1!B3</f>
        <v>2.4</v>
      </c>
      <c r="D39">
        <f>Лист1!C3</f>
        <v>2.8</v>
      </c>
      <c r="E39">
        <f>Лист1!D3</f>
        <v>4.0999999999999996</v>
      </c>
      <c r="F39">
        <f>Лист1!E3</f>
        <v>1.8</v>
      </c>
    </row>
    <row r="40" spans="1:6" x14ac:dyDescent="0.35">
      <c r="A40">
        <f>Лист6!A40</f>
        <v>2024</v>
      </c>
      <c r="B40" t="str">
        <f>Лист6!B40</f>
        <v>Mart</v>
      </c>
      <c r="C40">
        <f>Лист1!B4</f>
        <v>2.4</v>
      </c>
      <c r="D40">
        <f>Лист1!C4</f>
        <v>2.9</v>
      </c>
      <c r="E40">
        <f>Лист1!D4</f>
        <v>2.66</v>
      </c>
      <c r="F40">
        <f>Лист1!E4</f>
        <v>2.75</v>
      </c>
    </row>
    <row r="41" spans="1:6" x14ac:dyDescent="0.35">
      <c r="A41">
        <f>Лист6!A41</f>
        <v>2024</v>
      </c>
      <c r="B41" t="str">
        <f>Лист6!B41</f>
        <v>April</v>
      </c>
      <c r="C41">
        <f>Лист1!B5</f>
        <v>5</v>
      </c>
      <c r="D41">
        <f>Лист1!C5</f>
        <v>3.4</v>
      </c>
      <c r="E41">
        <f>Лист1!D5</f>
        <v>4.0999999999999996</v>
      </c>
      <c r="F41">
        <f>Лист1!E5</f>
        <v>3.53</v>
      </c>
    </row>
    <row r="42" spans="1:6" x14ac:dyDescent="0.35">
      <c r="A42">
        <f>Лист6!A42</f>
        <v>2024</v>
      </c>
      <c r="B42" t="str">
        <f>Лист6!B42</f>
        <v>May</v>
      </c>
      <c r="C42">
        <f>Лист1!B6</f>
        <v>1.3</v>
      </c>
      <c r="D42">
        <f>Лист1!C6</f>
        <v>1.3</v>
      </c>
      <c r="E42">
        <f>Лист1!D6</f>
        <v>2.6</v>
      </c>
      <c r="F42">
        <f>Лист1!E6</f>
        <v>2.15</v>
      </c>
    </row>
    <row r="43" spans="1:6" x14ac:dyDescent="0.35">
      <c r="A43">
        <f>Лист6!A43</f>
        <v>2024</v>
      </c>
      <c r="B43" t="str">
        <f>Лист6!B43</f>
        <v>June</v>
      </c>
      <c r="C43">
        <f>Лист1!B7</f>
        <v>1.9</v>
      </c>
      <c r="D43">
        <f>Лист1!C7</f>
        <v>2.6</v>
      </c>
      <c r="E43">
        <f>Лист1!D7</f>
        <v>3.35</v>
      </c>
      <c r="F43">
        <f>Лист1!E7</f>
        <v>3.15</v>
      </c>
    </row>
    <row r="44" spans="1:6" x14ac:dyDescent="0.35">
      <c r="A44">
        <f>Лист6!A44</f>
        <v>2024</v>
      </c>
      <c r="B44" t="str">
        <f>Лист6!B44</f>
        <v>July</v>
      </c>
      <c r="C44">
        <f>Лист1!B8</f>
        <v>1.1000000000000001</v>
      </c>
      <c r="D44">
        <f>Лист1!C8</f>
        <v>1.8</v>
      </c>
      <c r="E44">
        <f>Лист1!D8</f>
        <v>1.9</v>
      </c>
      <c r="F44">
        <f>Лист1!E8</f>
        <v>1.6</v>
      </c>
    </row>
    <row r="45" spans="1:6" x14ac:dyDescent="0.35">
      <c r="A45">
        <f>Лист6!A45</f>
        <v>2024</v>
      </c>
      <c r="B45" t="str">
        <f>Лист6!B45</f>
        <v>August</v>
      </c>
      <c r="C45">
        <f>Лист1!B9</f>
        <v>3.8</v>
      </c>
      <c r="D45">
        <f>Лист1!C9</f>
        <v>1.9</v>
      </c>
      <c r="E45">
        <f>Лист1!D9</f>
        <v>2.8</v>
      </c>
      <c r="F45">
        <f>Лист1!E9</f>
        <v>3.8</v>
      </c>
    </row>
    <row r="46" spans="1:6" x14ac:dyDescent="0.35">
      <c r="A46">
        <f>Лист6!A46</f>
        <v>2024</v>
      </c>
      <c r="B46" t="str">
        <f>Лист6!B46</f>
        <v>Sept</v>
      </c>
      <c r="C46">
        <f>Лист1!B10</f>
        <v>1.4</v>
      </c>
      <c r="D46">
        <f>Лист1!C10</f>
        <v>1.5</v>
      </c>
      <c r="E46">
        <f>Лист1!D10</f>
        <v>1.85</v>
      </c>
      <c r="F46">
        <f>Лист1!E10</f>
        <v>1.8</v>
      </c>
    </row>
    <row r="47" spans="1:6" x14ac:dyDescent="0.35">
      <c r="A47">
        <f>Лист6!A47</f>
        <v>2024</v>
      </c>
      <c r="B47" t="str">
        <f>Лист6!B47</f>
        <v>Octob</v>
      </c>
      <c r="C47">
        <f>Лист1!B11</f>
        <v>2.6</v>
      </c>
      <c r="D47">
        <f>Лист1!C11</f>
        <v>3.7</v>
      </c>
      <c r="E47">
        <f>Лист1!D11</f>
        <v>2.6</v>
      </c>
      <c r="F47">
        <f>Лист1!E11</f>
        <v>1.76</v>
      </c>
    </row>
    <row r="48" spans="1:6" x14ac:dyDescent="0.35">
      <c r="A48">
        <f>Лист6!A48</f>
        <v>2024</v>
      </c>
      <c r="B48" t="str">
        <f>Лист6!B48</f>
        <v>Novem</v>
      </c>
      <c r="C48">
        <f>Лист1!B12</f>
        <v>2.1</v>
      </c>
      <c r="D48">
        <f>Лист1!C12</f>
        <v>2.2000000000000002</v>
      </c>
      <c r="E48">
        <f>Лист1!D12</f>
        <v>2.13</v>
      </c>
      <c r="F48">
        <f>Лист1!E12</f>
        <v>4.1500000000000004</v>
      </c>
    </row>
    <row r="49" spans="1:6" x14ac:dyDescent="0.35">
      <c r="A49">
        <f>Лист6!A49</f>
        <v>2024</v>
      </c>
      <c r="B49" t="str">
        <f>Лист6!B49</f>
        <v>Decem</v>
      </c>
      <c r="C49">
        <f>Лист1!B13</f>
        <v>2.9</v>
      </c>
      <c r="D49">
        <f>Лист1!C13</f>
        <v>3.1</v>
      </c>
      <c r="E49">
        <f>Лист1!D13</f>
        <v>3.36</v>
      </c>
      <c r="F49">
        <f>Лист1!E13</f>
        <v>2.93</v>
      </c>
    </row>
    <row r="50" spans="1:6" x14ac:dyDescent="0.35">
      <c r="A50">
        <f>Лист6!A50</f>
        <v>2025</v>
      </c>
      <c r="B50" t="str">
        <f>Лист6!B50</f>
        <v>Jan</v>
      </c>
      <c r="C50">
        <v>1.4</v>
      </c>
      <c r="D50">
        <v>2.1</v>
      </c>
      <c r="E50">
        <v>1.86</v>
      </c>
      <c r="F50">
        <v>1.36</v>
      </c>
    </row>
    <row r="51" spans="1:6" x14ac:dyDescent="0.35">
      <c r="A51">
        <f>Лист6!A51</f>
        <v>2025</v>
      </c>
      <c r="B51" t="str">
        <f>Лист6!B51</f>
        <v>Feb</v>
      </c>
      <c r="C51">
        <v>1.8</v>
      </c>
      <c r="D51">
        <v>1.4</v>
      </c>
      <c r="E51">
        <v>1.63</v>
      </c>
      <c r="F51">
        <v>1.1599999999999999</v>
      </c>
    </row>
    <row r="52" spans="1:6" x14ac:dyDescent="0.35">
      <c r="A52">
        <f>Лист6!A52</f>
        <v>2025</v>
      </c>
      <c r="B52" t="str">
        <f>Лист6!B52</f>
        <v>Mart</v>
      </c>
      <c r="C52">
        <v>0</v>
      </c>
      <c r="D52">
        <v>1.5</v>
      </c>
      <c r="E52">
        <v>1.7</v>
      </c>
      <c r="F52">
        <v>1.4</v>
      </c>
    </row>
    <row r="53" spans="1:6" x14ac:dyDescent="0.35">
      <c r="A53">
        <f>Лист6!A53</f>
        <v>2025</v>
      </c>
      <c r="B53" t="str">
        <f>Лист6!B53</f>
        <v>April</v>
      </c>
      <c r="C53">
        <v>1.4</v>
      </c>
      <c r="D53">
        <v>0</v>
      </c>
      <c r="E53">
        <v>3.33</v>
      </c>
      <c r="F53">
        <v>2.5</v>
      </c>
    </row>
    <row r="54" spans="1:6" x14ac:dyDescent="0.35">
      <c r="A54">
        <f>Лист6!A54</f>
        <v>2025</v>
      </c>
      <c r="B54" t="str">
        <f>Лист6!B54</f>
        <v>May</v>
      </c>
      <c r="C54">
        <v>2.9</v>
      </c>
      <c r="D54">
        <v>2.4</v>
      </c>
      <c r="E54">
        <v>2.2599999999999998</v>
      </c>
      <c r="F54">
        <v>2.2999999999999998</v>
      </c>
    </row>
    <row r="55" spans="1:6" x14ac:dyDescent="0.35">
      <c r="A55">
        <f>Лист6!A55</f>
        <v>2025</v>
      </c>
      <c r="B55" t="str">
        <f>Лист6!B55</f>
        <v>June</v>
      </c>
      <c r="C55">
        <v>2.6</v>
      </c>
      <c r="D55">
        <v>2.4</v>
      </c>
      <c r="E55">
        <v>3.2</v>
      </c>
      <c r="F55">
        <v>2.8</v>
      </c>
    </row>
    <row r="56" spans="1:6" x14ac:dyDescent="0.35">
      <c r="A56">
        <f>Лист6!A56</f>
        <v>2025</v>
      </c>
      <c r="B56" t="str">
        <f>Лист6!B56</f>
        <v>July</v>
      </c>
      <c r="C56">
        <v>1.3</v>
      </c>
      <c r="D56">
        <v>0</v>
      </c>
      <c r="E56">
        <v>2.5</v>
      </c>
      <c r="F56">
        <v>2.4500000000000002</v>
      </c>
    </row>
    <row r="57" spans="1:6" x14ac:dyDescent="0.35">
      <c r="A57">
        <f>Лист6!A57</f>
        <v>2025</v>
      </c>
      <c r="B57" t="str">
        <f>Лист6!B57</f>
        <v>August</v>
      </c>
      <c r="C57">
        <v>1.1000000000000001</v>
      </c>
      <c r="D57">
        <v>1</v>
      </c>
      <c r="E57">
        <v>2.1</v>
      </c>
      <c r="F57">
        <v>1.95</v>
      </c>
    </row>
    <row r="58" spans="1:6" x14ac:dyDescent="0.35">
      <c r="A58">
        <f>Лист6!A58</f>
        <v>2025</v>
      </c>
      <c r="B58" t="str">
        <f>Лист6!B58</f>
        <v>Sept</v>
      </c>
      <c r="C58">
        <v>1</v>
      </c>
      <c r="D58">
        <v>0</v>
      </c>
      <c r="E58">
        <v>2.1</v>
      </c>
      <c r="F58">
        <v>2.4500000000000002</v>
      </c>
    </row>
    <row r="59" spans="1:6" x14ac:dyDescent="0.35">
      <c r="A59">
        <v>2025</v>
      </c>
      <c r="B59" t="str">
        <f>$B$47</f>
        <v>Octob</v>
      </c>
      <c r="C59">
        <f>Лист8!B11</f>
        <v>1.4</v>
      </c>
      <c r="D59">
        <f>Лист8!C11</f>
        <v>1</v>
      </c>
      <c r="E59">
        <f>Лист8!D11</f>
        <v>2.6</v>
      </c>
      <c r="F59">
        <f>Лист8!E11</f>
        <v>2.8</v>
      </c>
    </row>
    <row r="60" spans="1:6" x14ac:dyDescent="0.35">
      <c r="A60">
        <v>2025</v>
      </c>
      <c r="B60" t="str">
        <f>$B$48</f>
        <v>Novem</v>
      </c>
      <c r="C60">
        <f>Лист8!B12</f>
        <v>1.4</v>
      </c>
      <c r="D60">
        <f>Лист8!C12</f>
        <v>1.6</v>
      </c>
      <c r="E60">
        <f>Лист8!D12</f>
        <v>4.3600000000000003</v>
      </c>
      <c r="F60">
        <f>Лист8!E12</f>
        <v>1.9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24E3-B8E6-4FCD-9BB2-1E379D96AE14}">
  <dimension ref="A1:E13"/>
  <sheetViews>
    <sheetView workbookViewId="0">
      <selection activeCell="Q12" sqref="Q12"/>
    </sheetView>
  </sheetViews>
  <sheetFormatPr defaultRowHeight="14.5" x14ac:dyDescent="0.35"/>
  <sheetData>
    <row r="1" spans="1:5" x14ac:dyDescent="0.35">
      <c r="A1">
        <v>2025</v>
      </c>
      <c r="B1" t="str">
        <f>Лист2!B1</f>
        <v>Yer 2</v>
      </c>
      <c r="C1" t="str">
        <f>Лист2!C1</f>
        <v>Yer3</v>
      </c>
      <c r="D1" t="str">
        <f>Лист2!D1</f>
        <v>Yer4(09)</v>
      </c>
      <c r="E1" t="str">
        <f>Лист2!E1</f>
        <v>Yer5</v>
      </c>
    </row>
    <row r="2" spans="1:5" x14ac:dyDescent="0.35">
      <c r="A2" t="str">
        <f>Лист2!A2</f>
        <v>Jan</v>
      </c>
      <c r="B2">
        <f>Лист7!C50</f>
        <v>1.4</v>
      </c>
      <c r="C2">
        <f>Лист7!D50</f>
        <v>2.1</v>
      </c>
      <c r="D2">
        <f>Лист7!E50</f>
        <v>1.86</v>
      </c>
      <c r="E2">
        <f>Лист7!F50</f>
        <v>1.36</v>
      </c>
    </row>
    <row r="3" spans="1:5" x14ac:dyDescent="0.35">
      <c r="A3" t="str">
        <f>Лист2!A3</f>
        <v>Feb</v>
      </c>
      <c r="B3">
        <f>Лист7!C51</f>
        <v>1.8</v>
      </c>
      <c r="C3">
        <f>Лист7!D51</f>
        <v>1.4</v>
      </c>
      <c r="D3">
        <f>Лист7!E51</f>
        <v>1.63</v>
      </c>
      <c r="E3">
        <f>Лист7!F51</f>
        <v>1.1599999999999999</v>
      </c>
    </row>
    <row r="4" spans="1:5" x14ac:dyDescent="0.35">
      <c r="A4" t="str">
        <f>Лист2!A4</f>
        <v>Mart</v>
      </c>
      <c r="B4">
        <f>Лист7!C52</f>
        <v>0</v>
      </c>
      <c r="C4">
        <f>Лист7!D52</f>
        <v>1.5</v>
      </c>
      <c r="D4">
        <f>Лист7!E52</f>
        <v>1.7</v>
      </c>
      <c r="E4">
        <f>Лист7!F52</f>
        <v>1.4</v>
      </c>
    </row>
    <row r="5" spans="1:5" x14ac:dyDescent="0.35">
      <c r="A5" t="str">
        <f>Лист2!A5</f>
        <v>April</v>
      </c>
      <c r="B5">
        <f>Лист7!C53</f>
        <v>1.4</v>
      </c>
      <c r="C5">
        <f>Лист7!D53</f>
        <v>0</v>
      </c>
      <c r="D5">
        <f>Лист7!E53</f>
        <v>3.33</v>
      </c>
      <c r="E5">
        <f>Лист7!F53</f>
        <v>2.5</v>
      </c>
    </row>
    <row r="6" spans="1:5" x14ac:dyDescent="0.35">
      <c r="A6" t="str">
        <f>Лист2!A6</f>
        <v>May</v>
      </c>
      <c r="B6">
        <f>Лист7!C54</f>
        <v>2.9</v>
      </c>
      <c r="C6">
        <f>Лист7!D54</f>
        <v>2.4</v>
      </c>
      <c r="D6">
        <f>Лист7!E54</f>
        <v>2.2599999999999998</v>
      </c>
      <c r="E6">
        <f>Лист7!F54</f>
        <v>2.2999999999999998</v>
      </c>
    </row>
    <row r="7" spans="1:5" x14ac:dyDescent="0.35">
      <c r="A7" t="str">
        <f>Лист2!A7</f>
        <v>June</v>
      </c>
      <c r="B7">
        <f>Лист7!C55</f>
        <v>2.6</v>
      </c>
      <c r="C7">
        <f>Лист7!D55</f>
        <v>2.4</v>
      </c>
      <c r="D7">
        <f>Лист7!E55</f>
        <v>3.2</v>
      </c>
      <c r="E7">
        <f>Лист7!F55</f>
        <v>2.8</v>
      </c>
    </row>
    <row r="8" spans="1:5" x14ac:dyDescent="0.35">
      <c r="A8" t="str">
        <f>Лист2!A8</f>
        <v>July</v>
      </c>
      <c r="B8">
        <f>Лист7!C56</f>
        <v>1.3</v>
      </c>
      <c r="C8">
        <f>Лист7!D56</f>
        <v>0</v>
      </c>
      <c r="D8">
        <f>Лист7!E56</f>
        <v>2.5</v>
      </c>
      <c r="E8">
        <f>Лист7!F56</f>
        <v>2.4500000000000002</v>
      </c>
    </row>
    <row r="9" spans="1:5" x14ac:dyDescent="0.35">
      <c r="A9" t="str">
        <f>Лист2!A9</f>
        <v>August</v>
      </c>
      <c r="B9">
        <f>Лист7!C57</f>
        <v>1.1000000000000001</v>
      </c>
      <c r="C9">
        <f>Лист7!D57</f>
        <v>1</v>
      </c>
      <c r="D9">
        <f>Лист7!E57</f>
        <v>2.1</v>
      </c>
      <c r="E9">
        <f>Лист7!F57</f>
        <v>1.95</v>
      </c>
    </row>
    <row r="10" spans="1:5" x14ac:dyDescent="0.35">
      <c r="A10" t="str">
        <f>Лист2!A10</f>
        <v>Sept</v>
      </c>
      <c r="B10">
        <f>Лист7!C58</f>
        <v>1</v>
      </c>
      <c r="C10">
        <f>Лист7!D58</f>
        <v>0</v>
      </c>
      <c r="D10">
        <f>Лист7!E58</f>
        <v>2.1</v>
      </c>
      <c r="E10">
        <f>Лист7!F58</f>
        <v>2.4500000000000002</v>
      </c>
    </row>
    <row r="11" spans="1:5" x14ac:dyDescent="0.35">
      <c r="A11" t="str">
        <f>Лист2!A11</f>
        <v>Octob</v>
      </c>
      <c r="B11">
        <v>1.4</v>
      </c>
      <c r="C11">
        <v>1</v>
      </c>
      <c r="D11">
        <v>2.6</v>
      </c>
      <c r="E11">
        <v>2.8</v>
      </c>
    </row>
    <row r="12" spans="1:5" x14ac:dyDescent="0.35">
      <c r="A12" t="str">
        <f>Лист2!A12</f>
        <v>Novem</v>
      </c>
      <c r="B12">
        <v>1.4</v>
      </c>
      <c r="C12">
        <v>1.6</v>
      </c>
      <c r="D12">
        <v>4.3600000000000003</v>
      </c>
      <c r="E12">
        <v>1.9</v>
      </c>
    </row>
    <row r="13" spans="1:5" x14ac:dyDescent="0.35">
      <c r="A13" t="str">
        <f>Лист2!A13</f>
        <v>Decem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Sheet1</vt:lpstr>
      <vt:lpstr>Лист2</vt:lpstr>
      <vt:lpstr>Лист1</vt:lpstr>
      <vt:lpstr>Лист3</vt:lpstr>
      <vt:lpstr>Лист4</vt:lpstr>
      <vt:lpstr>Лист5</vt:lpstr>
      <vt:lpstr>Лист6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технодом</dc:creator>
  <cp:lastModifiedBy>vrLab g14etazh</cp:lastModifiedBy>
  <dcterms:created xsi:type="dcterms:W3CDTF">2015-06-05T18:17:20Z</dcterms:created>
  <dcterms:modified xsi:type="dcterms:W3CDTF">2026-02-15T12:07:32Z</dcterms:modified>
</cp:coreProperties>
</file>